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21600" windowHeight="11595" tabRatio="500"/>
  </bookViews>
  <sheets>
    <sheet name="TestCase" sheetId="1" r:id="rId4"/>
    <sheet name="TC MAP" sheetId="2" r:id="rId5"/>
  </sheets>
  <definedNames>
    <definedName name="머릿글" localSheetId="0">TestCase!$B$1:$K$1</definedName>
  </definedNames>
  <calcPr/>
  <extLst>
    <ext uri="smNativeData">
      <pm:revision xmlns:pm="smNativeData" day="1758953923" val="1228" rev="124" revOS="4" revMin="124" revMax="0"/>
      <pm:docPrefs xmlns:pm="smNativeData" id="1758953923" fixedDigits="0" showNotice="1" showFrameBounds="1" autoChart="1" recalcOnPrint="1" recalcOnCopy="1" finalRounding="1" compatTextArt="1" tab="567" useDefinedPrintRange="1" printArea="currentSheet"/>
      <pm:compatibility xmlns:pm="smNativeData" id="1758953923" overlapCells="1"/>
      <pm:defCurrency xmlns:pm="smNativeData" id="1758953923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A1" authorId="0">
      <text>
        <r>
          <rPr>
            <rFont val="Arial"/>
            <charset val="0"/>
            <family val="2"/>
            <sz val="10"/>
            <b val="0"/>
            <i val="0"/>
          </rPr>
          <t>케이스 번호, 카운트 용도</t>
        </r>
      </text>
    </comment>
    <comment ref="B1" authorId="0">
      <text>
        <r>
          <rPr>
            <rFont val="Arial"/>
            <charset val="0"/>
            <family val="2"/>
            <sz val="10"/>
            <b val="0"/>
            <i val="0"/>
          </rPr>
          <t>프로그램의 가장 큰단위로 나눌 수 있는 시스템 범주</t>
        </r>
      </text>
    </comment>
    <comment ref="C1" authorId="0">
      <text>
        <r>
          <rPr>
            <rFont val="Arial"/>
            <charset val="0"/>
            <family val="2"/>
            <sz val="10"/>
            <b val="0"/>
            <i val="0"/>
          </rPr>
          <t>모듈의 집합을 알기 쉽도록 명칭</t>
        </r>
      </text>
    </comment>
    <comment ref="D1" authorId="0">
      <text>
        <r>
          <rPr>
            <rFont val="Arial"/>
            <charset val="0"/>
            <family val="2"/>
            <sz val="10"/>
            <b val="0"/>
            <i val="0"/>
          </rPr>
          <t>모듈단위 분류</t>
        </r>
      </text>
    </comment>
    <comment ref="E1" authorId="0">
      <text>
        <r>
          <rPr>
            <rFont val="Arial"/>
            <charset val="0"/>
            <family val="2"/>
            <sz val="10"/>
            <b val="0"/>
            <i val="0"/>
          </rPr>
          <t>사용자가 케이스의 내용을 빠르게 파악할 수 있도록 요약함</t>
        </r>
      </text>
    </comment>
    <comment ref="F1" authorId="0">
      <text>
        <r>
          <rPr>
            <rFont val="Arial"/>
            <charset val="0"/>
            <family val="2"/>
            <sz val="10"/>
            <b val="0"/>
            <i val="0"/>
          </rPr>
          <t>실행방법 실행전 충족되야하는 조건</t>
        </r>
      </text>
    </comment>
    <comment ref="G1" authorId="0">
      <text>
        <r>
          <rPr>
            <rFont val="Arial"/>
            <charset val="0"/>
            <family val="2"/>
            <sz val="10"/>
            <b val="0"/>
            <i val="0"/>
          </rPr>
          <t>해당 케이스의 직접적인 실행 순서를 작성</t>
        </r>
      </text>
    </comment>
    <comment ref="H1" authorId="0">
      <text>
        <r>
          <rPr>
            <rFont val="Arial"/>
            <charset val="0"/>
            <family val="2"/>
            <sz val="10"/>
            <b val="0"/>
            <i val="0"/>
          </rPr>
          <t>실행 순서에 대해 기대되는 결과를 입력</t>
        </r>
      </text>
    </comment>
    <comment ref="J1" authorId="0">
      <text>
        <r>
          <rPr>
            <rFont val="Arial"/>
            <charset val="0"/>
            <family val="2"/>
            <sz val="10"/>
            <b val="0"/>
            <i val="0"/>
          </rPr>
          <t>실제로 실행 순서를 실행한 결과를 입력</t>
        </r>
      </text>
    </comment>
  </commentList>
</comments>
</file>

<file path=xl/sharedStrings.xml><?xml version="1.0" encoding="utf-8"?>
<sst xmlns="http://schemas.openxmlformats.org/spreadsheetml/2006/main" count="213" uniqueCount="171">
  <si>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</si>
  <si>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</si>
  <si>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</si>
  <si>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</si>
  <si>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</si>
  <si>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</si>
  <si>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</si>
  <si>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</si>
  <si>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</si>
  <si>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</si>
  <si>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</si>
  <si>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</si>
  <si>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</si>
  <si>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</si>
  <si>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클라이언트를 실행한다</t>
  </si>
  <si>
    <t>N/T</t>
  </si>
  <si>
    <t>유니티 프로젝트에서 테스트를 진행해 아직 클라이언트 실행을 진행하지 않음</t>
  </si>
  <si>
    <t>윈도우기능</t>
  </si>
  <si>
    <t>제목/아이콘 표시</t>
  </si>
  <si>
    <t>좁은창에서 제목표시줄 내용을 확인한다</t>
  </si>
  <si>
    <t>넓은창에서 제목표시줄을 내용을 확인한다</t>
  </si>
  <si>
    <t>최소화</t>
  </si>
  <si>
    <t>윈도우를 최소화 후 복귀한다</t>
  </si>
  <si>
    <t>게임중 윈도우를 최소화 후 복귀한다</t>
  </si>
  <si>
    <t>닫기</t>
  </si>
  <si>
    <t>윈도우를 닫는다</t>
  </si>
  <si>
    <t>메뉴기능</t>
  </si>
  <si>
    <t>게임메뉴/UI</t>
  </si>
  <si>
    <t>Start</t>
  </si>
  <si>
    <t>게임을 시작한다</t>
  </si>
  <si>
    <t>메인 메뉴에 있는 Start 버튼을 눌러 시작</t>
  </si>
  <si>
    <t xml:space="preserve"> "Home" 으로 화면 전환</t>
  </si>
  <si>
    <t>Pass</t>
  </si>
  <si>
    <t>Setting</t>
  </si>
  <si>
    <t>게임의 설정매뉴에 진행함</t>
  </si>
  <si>
    <t>메인 메뉴에 혹은 게임 도중 ESC키를 눌러 접근</t>
  </si>
  <si>
    <t>화면에 Setting UI 출력</t>
  </si>
  <si>
    <t>Setting-Music</t>
  </si>
  <si>
    <t>게임의 음악볼륨을 조절한다</t>
  </si>
  <si>
    <t>1. 메인 메뉴 혹은 ESC를 눌러 Setting 메뉴 접근
2. Music(BGM)란에 있는 슬라이더를 이용해 조절</t>
  </si>
  <si>
    <t>Float 값으로 음악볼륨이 조절됨</t>
  </si>
  <si>
    <t>Setting-Effect</t>
  </si>
  <si>
    <t>게임의 효과볼륨을 조절한다</t>
  </si>
  <si>
    <t>1. 메인 메뉴 혹은 ESC를 눌러 Setting 메뉴 접근
2. Effect란에 있는 슬라이더를 이용해 조절</t>
  </si>
  <si>
    <t>Float 값으로 효과음볼륨이 조절됨</t>
  </si>
  <si>
    <t>Setting-Key</t>
  </si>
  <si>
    <t>조작법을 사용자 지정대로 변경</t>
  </si>
  <si>
    <t>1. 게임 플레이 도중 ESC를 눌러 Setting 메뉴 접근
2. Key 버튼을 눌러 Key Setting 매뉴 접근
3. 변경하고 싶은 조작란 칸을 클릭
4. 플레이어가 쓰고 싶은 키보드의 키를 입력</t>
  </si>
  <si>
    <t>인게임에서 플레이어가 지정한 
키로 변경</t>
  </si>
  <si>
    <t>Exit</t>
  </si>
  <si>
    <t>게임의 클라이언트를 종료</t>
  </si>
  <si>
    <t>1. 메인 메뉴에 있는 Exit 버튼을 눌러 선택창 접근
2. 'Yes' 혹은 'No' 버튼을 눌러 결정함</t>
  </si>
  <si>
    <t>선택에 따라 게임이 종료 됨</t>
  </si>
  <si>
    <t>N/A</t>
  </si>
  <si>
    <t>게임실행란 비고 참고</t>
  </si>
  <si>
    <t xml:space="preserve">Home 내의
조력자 NPC </t>
  </si>
  <si>
    <t>상호작용 가능여부 UI</t>
  </si>
  <si>
    <t>Home 씬에 있는 NPC 캐릭터에게 접근</t>
  </si>
  <si>
    <t>대화를 걸수 있을 상태일때 
"Press [key] to talk"이 뜸</t>
  </si>
  <si>
    <t>퀘스트 상호작용 UI 접근</t>
  </si>
  <si>
    <t>1. Home 씬에 있는 NPC 캐릭터에게 접근
2. 대화를 걸수 있을 상태일때 상호작용 키를 입력</t>
  </si>
  <si>
    <t>퀘스트 수락/거절 UI 출력</t>
  </si>
  <si>
    <t>퀘스트 수락 혹은 거절</t>
  </si>
  <si>
    <t>1. 퀘스트 수락/거절 UI 매뉴 접근
2. Yes, No 버튼을 눌러 퀘스트 수락여부를 선택</t>
  </si>
  <si>
    <t>Yes를 누를 시 스테이지 이동,
No를 누를 시 UI 종료</t>
  </si>
  <si>
    <t>미션 실패시</t>
  </si>
  <si>
    <t>퀘스트 실패 UI 출력</t>
  </si>
  <si>
    <t>적 NPC에게 제압을 당해 미션 수행이 불가해질시</t>
  </si>
  <si>
    <t>게임 오버 UI 출력</t>
  </si>
  <si>
    <t>퀘스트 재시작</t>
  </si>
  <si>
    <t xml:space="preserve">게임오버 UI가 출력될 시 재시작 버튼을 선택 </t>
  </si>
  <si>
    <t>게임을 Home에서 다시 시작</t>
  </si>
  <si>
    <t>미션 성공시</t>
  </si>
  <si>
    <t>퀘스트 성공 UI 출력</t>
  </si>
  <si>
    <t>목표를 처리 해 미션 성공을 해야함</t>
  </si>
  <si>
    <t>미션 성공 UI 출력</t>
  </si>
  <si>
    <t>홈 이동</t>
  </si>
  <si>
    <t xml:space="preserve">미션 성공 UI가 출력될 시 Home 버튼을 선택 </t>
  </si>
  <si>
    <t>무기 선택 UI</t>
  </si>
  <si>
    <t>무기 선택 UI 출력</t>
  </si>
  <si>
    <t>1. Home에 있는 무기 상자에 접근
2. 상호작용 키를 입력</t>
  </si>
  <si>
    <t>무기 선택 UI가 출력 됨</t>
  </si>
  <si>
    <t>"Gun" 선택</t>
  </si>
  <si>
    <t>"Gun" 버튼 선택</t>
  </si>
  <si>
    <t>해당 무기가 선택되며 UI 사라짐</t>
  </si>
  <si>
    <t>Fail</t>
  </si>
  <si>
    <t>UI가 사라지지 않으며
ESC키로 Ui를 꺼야함
무기도 제대로 선택되지 않음</t>
  </si>
  <si>
    <t>"CrowBar" 선택</t>
  </si>
  <si>
    <t>"CrowBar" 버튼 선택</t>
  </si>
  <si>
    <t>"</t>
  </si>
  <si>
    <t>"Bat" 선택</t>
  </si>
  <si>
    <t>"Bat" 버튼 선택</t>
  </si>
  <si>
    <t>무기 선택 필수</t>
  </si>
  <si>
    <t>무기를 골라야하는 요구 화면 출력</t>
  </si>
  <si>
    <t>무기를 미장착</t>
  </si>
  <si>
    <t>무기를 미장착한 상태에서 뭬스트 수락 버튼을 선택</t>
  </si>
  <si>
    <t>"무기를 골라야합니다" 하는 
텍스트가 출력이 됨</t>
  </si>
  <si>
    <t>인게임기능</t>
  </si>
  <si>
    <t>게임 기능</t>
  </si>
  <si>
    <t>지뢰 카운터</t>
  </si>
  <si>
    <t>지뢰카운터 값을 감소시킨다</t>
  </si>
  <si>
    <t>1. 미확인블럭 우클릭</t>
  </si>
  <si>
    <t>지뢰카운터가 1 감소됨</t>
  </si>
  <si>
    <t>지뢰카운터 값을 증가시킨다</t>
  </si>
  <si>
    <t>1. 깃발블럭 우클릭</t>
  </si>
  <si>
    <t>지뢰카운터가 1 증가됨</t>
  </si>
  <si>
    <t>스마일버튼</t>
  </si>
  <si>
    <t>게임 시작전 스마일 버튼을 사용한다</t>
  </si>
  <si>
    <t>인게임 시작전</t>
  </si>
  <si>
    <t>1. 스마일버튼 클릭</t>
  </si>
  <si>
    <t>아무런 변화가 없다</t>
  </si>
  <si>
    <t>게임 시작후 스마일 버튼을 사용한다</t>
  </si>
  <si>
    <t>인게임 시작후</t>
  </si>
  <si>
    <t>2. 스마일버튼 클릭</t>
  </si>
  <si>
    <t>게임이 초기화된다</t>
  </si>
  <si>
    <t>초시계</t>
  </si>
  <si>
    <t>초시계 카운터를 시작한다</t>
  </si>
  <si>
    <t>1. 최초로 미확인 블럭 클릭</t>
  </si>
  <si>
    <t>1부터 초단위로 1씩 값이 증가한다</t>
  </si>
  <si>
    <t>초시계 최대값을 확인한다</t>
  </si>
  <si>
    <t>1. 최초로 미확인 블럭 클릭
2. 999초 이상 대기</t>
  </si>
  <si>
    <t>1. 1부터 초단위로 1씩 값이 증가한다
2. 999초에서 증가가 멈춘다</t>
  </si>
  <si>
    <t>블럭 확인</t>
  </si>
  <si>
    <t>최로로 미확인 블럭을 클릭하여 확인한다</t>
  </si>
  <si>
    <t>최초 클릭</t>
  </si>
  <si>
    <t>1. 미확인 블럭 클릭</t>
  </si>
  <si>
    <t>다음중 하나로 변경됨
- 1~8 까지의 숫자
- 빈영역</t>
  </si>
  <si>
    <t>숫자블럭을 확인한다</t>
  </si>
  <si>
    <t>1. 미확인 블럭 클릭
2. 숫자블럭이 아니면 재실행</t>
  </si>
  <si>
    <t xml:space="preserve">1~8 까지의 숫자 블럭이 확인됨
</t>
  </si>
  <si>
    <t>Pass: 테스트 성공</t>
  </si>
  <si>
    <t>빈블럭을 확인한다</t>
  </si>
  <si>
    <t>1. 미확인 블럭 클릭
2. 빈블럭이 아니면 재실행</t>
  </si>
  <si>
    <t>빈블럭이 확인되며 양옆,상하 4개의 블럭이 열린다.
열린블럭에 빈블럭이 있을경우 같은 액션이 반복된다.</t>
  </si>
  <si>
    <t>Fail: 테스트 실패</t>
  </si>
  <si>
    <t>지뢰블럭을 확인한다</t>
  </si>
  <si>
    <t>1. 미확인 블럭 클릭
2. 지뢰블럭이 아니면 재실행</t>
  </si>
  <si>
    <t>지뢰블럭이 열리고 게임이 종료된다.
게임종료시 모든 블럭이 더이상 클릭되지 않는다.</t>
  </si>
  <si>
    <t>Blcok: 상위테스트의 실패 등에 의해 테스트 실행할 수 없음</t>
  </si>
  <si>
    <t>Block</t>
  </si>
  <si>
    <t>블럭 잠금</t>
  </si>
  <si>
    <t>미확인 블럭에 깃발을 표시한다</t>
  </si>
  <si>
    <t>깃발블럭</t>
  </si>
  <si>
    <t>1. 미확인 블럭 우클릭
2. 깃발 블럭 클릭</t>
  </si>
  <si>
    <t>미확인 블럭이 깃발블럭으로 변경되며 클릭되지 않는다</t>
  </si>
  <si>
    <t>N/A: 환경등의 이유로 테스트 실행 불가능</t>
  </si>
  <si>
    <t>블럭 자동 확인</t>
  </si>
  <si>
    <t>숫자영역을 좌우동시클릭하여 주변 블럭을 확인한다</t>
  </si>
  <si>
    <t>숫자와 주변 3x3 영역의 깃발 숫자가 일치</t>
  </si>
  <si>
    <t>1. 숫자블럭 마우스 좌우 동시 클릭</t>
  </si>
  <si>
    <t>주변 3x3 영역이 확인된다</t>
  </si>
  <si>
    <t>N/T: 테스트 실행되지 않음</t>
  </si>
  <si>
    <t>숫자와 주변 3x3 영역의 깃발 숫자가 일치 하지 않는 상태</t>
  </si>
  <si>
    <t>주변 블럭이 확인되지 않는다</t>
  </si>
  <si>
    <t>게임 패배</t>
  </si>
  <si>
    <t>지뢰블럭을 클릭하여 게임이 종료된다</t>
  </si>
  <si>
    <t>게임 승리</t>
  </si>
  <si>
    <t>모든 지뢰를 찾아 게임이 승리한다</t>
  </si>
  <si>
    <t>1. 남은 미확인블럭수와 지뢰카운트 숫자가 일치할때까지 게임 진행</t>
  </si>
  <si>
    <t>1. 모든 미확인 블럭이 깃발블럭으로 변경된다
2. 초시계 카운트가 멈춘다
3. 스마일 아이콘이 선글라스 스마일로 변경된다
4. 모든 블럭이 더이상 클릭되지 않는다
5. 스마일 아이콘 클릭시 게임이 초기화된다</t>
  </si>
  <si>
    <t>최고기록 저장</t>
  </si>
  <si>
    <t>최고기록으로 승리하여 기록을 저장한다</t>
  </si>
  <si>
    <t>최고기록으로 게임 승리</t>
  </si>
  <si>
    <t>1. 최고기록으로 게임 승리
2. 최고기록 이름 입력칸에 이름 입력
3. 확인버튼 클릭
4. 확인버튼 클릭</t>
  </si>
  <si>
    <t>최고기록이 내가 입력한 이름으로 갱신된다</t>
  </si>
  <si>
    <t>테스트케이스 현황</t>
  </si>
  <si>
    <t>분류</t>
  </si>
  <si>
    <t>개수</t>
  </si>
  <si>
    <t>비율</t>
  </si>
  <si>
    <t>Total</t>
  </si>
  <si>
    <t>Total(%)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</si>
</sst>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9" formatCode="0%"/>
    <numFmt numFmtId="10" formatCode="0.00%"/>
  </numFmts>
  <fonts count="6">
    <font>
      <name val="Arial"/>
      <family val="2"/>
      <color rgb="FF000000"/>
      <sz val="10"/>
      <extLst>
        <ext uri="smNativeData">
          <pm:charSpec xmlns:pm="smNativeData" id="175895392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Verdana"/>
      <family val="2"/>
      <b/>
      <color rgb="FF000000"/>
      <sz val="9"/>
      <extLst>
        <ext uri="smNativeData">
          <pm:charSpec xmlns:pm="smNativeData" id="1758953923" ulstyle="none" kern="1">
            <pm:latin face="Verdana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Verdana"/>
      <family val="2"/>
      <color rgb="FF000000"/>
      <sz val="9"/>
      <extLst>
        <ext uri="smNativeData">
          <pm:charSpec xmlns:pm="smNativeData" id="1758953923" ulstyle="none" kern="1">
            <pm:latin face="Verdana" sz="180" lang="default"/>
            <pm:cs face="Times New Roman" sz="180" lang="default"/>
            <pm:ea face="SimSun" sz="180" lang="default"/>
          </pm:charSpec>
        </ext>
      </extLst>
    </font>
    <font>
      <name val="굴림"/>
      <charset val="129"/>
      <family val="3"/>
      <b/>
      <color rgb="FF000000"/>
      <sz val="9"/>
      <extLst>
        <ext uri="smNativeData">
          <pm:charSpec xmlns:pm="smNativeData" id="1758953923" ulstyle="none" kern="1">
            <pm:latin face="굴림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굴림"/>
      <charset val="129"/>
      <family val="3"/>
      <b/>
      <color rgb="FFFFFFFF"/>
      <sz val="9"/>
      <extLst>
        <ext uri="smNativeData">
          <pm:charSpec xmlns:pm="smNativeData" id="1758953923" fgClr="FFFFFF" ulstyle="none" kern="1">
            <pm:latin face="굴림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굴림"/>
      <charset val="129"/>
      <family val="3"/>
      <color rgb="FF000000"/>
      <sz val="9"/>
      <extLst>
        <ext uri="smNativeData">
          <pm:charSpec xmlns:pm="smNativeData" id="1758953923" ulstyle="none" kern="1">
            <pm:latin face="굴림" sz="180" lang="default"/>
            <pm:cs face="Times New Roman" sz="180" lang="default"/>
            <pm:ea face="SimSun" sz="180" lang="default"/>
          </pm:charSpec>
        </ext>
      </extLst>
    </font>
  </fonts>
  <fills count="17">
    <fill>
      <patternFill patternType="none"/>
    </fill>
    <fill>
      <patternFill patternType="gray125"/>
    </fill>
    <fill>
      <patternFill patternType="solid">
        <fgColor rgb="FFB7B7B7"/>
        <bgColor rgb="FFFFFFFF"/>
        <extLst>
          <ext uri="smNativeData">
            <pm:shade xmlns:pm="smNativeData" id="1758953923" type="1" fgLvl="100" fgClr="00B7B7B7" bgLvl="0" bgClr="00B7B7B7"/>
          </ext>
        </extLst>
      </patternFill>
    </fill>
    <fill>
      <patternFill patternType="solid">
        <fgColor rgb="FFB7B7B7"/>
        <bgColor rgb="FFFFFFFF"/>
        <extLst>
          <ext uri="smNativeData">
            <pm:shade xmlns:pm="smNativeData" id="1758953923" type="1" fgLvl="100" fgClr="00B7B7B7" bgLvl="0" bgClr="00B7B7B7"/>
          </ext>
        </extLst>
      </patternFill>
    </fill>
    <fill>
      <patternFill patternType="none"/>
    </fill>
    <fill>
      <patternFill patternType="none"/>
    </fill>
    <fill>
      <patternFill patternType="solid">
        <fgColor rgb="FF000000"/>
        <bgColor rgb="FFFFFFFF"/>
        <extLst>
          <ext uri="smNativeData">
            <pm:shade xmlns:pm="smNativeData" id="1758953923" type="1" fgLvl="100" fgClr="00000000" bgLvl="0" bgClr="00000000"/>
          </ext>
        </extLst>
      </patternFill>
    </fill>
    <fill>
      <patternFill patternType="solid">
        <fgColor rgb="FFEFEFEF"/>
        <bgColor rgb="FFFFFFFF"/>
        <extLst>
          <ext uri="smNativeData">
            <pm:shade xmlns:pm="smNativeData" id="1758953923" type="1" fgLvl="100" fgClr="00EFEFEF" bgLvl="0" bgClr="00EFEFEF"/>
          </ext>
        </extLst>
      </patternFill>
    </fill>
    <fill>
      <patternFill patternType="solid">
        <fgColor rgb="FFCFE2F3"/>
        <bgColor rgb="FFFFFFFF"/>
        <extLst>
          <ext uri="smNativeData">
            <pm:shade xmlns:pm="smNativeData" id="1758953923" type="1" fgLvl="100" fgClr="00CFE2F3" bgLvl="0" bgClr="00CFE2F3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58953923" type="1" fgLvl="100" fgClr="009FC5E8" bgLvl="0" bgClr="009FC5E8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8953923" type="1" fgLvl="100" fgClr="00FFFFFF" bgLvl="100" bgClr="00000000"/>
          </ext>
        </extLst>
      </patternFill>
    </fill>
    <fill>
      <patternFill patternType="solid">
        <fgColor rgb="FFB7B7B7"/>
        <bgColor rgb="FFFFFFFF"/>
        <extLst>
          <ext uri="smNativeData">
            <pm:shade xmlns:pm="smNativeData" id="1758953923" type="1" fgLvl="100" fgClr="00B7B7B7" bgLvl="0" bgClr="00B7B7B7"/>
          </ext>
        </extLst>
      </patternFill>
    </fill>
    <fill>
      <patternFill patternType="solid">
        <fgColor rgb="FFF3F3F3"/>
        <bgColor rgb="FFFFFFFF"/>
        <extLst>
          <ext uri="smNativeData">
            <pm:shade xmlns:pm="smNativeData" id="1758953923" type="1" fgLvl="100" fgClr="00F3F3F3" bgLvl="0" bgClr="00F3F3F3"/>
          </ext>
        </extLst>
      </patternFill>
    </fill>
    <fill>
      <patternFill patternType="none"/>
    </fill>
  </fills>
  <borders count="1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8953923"/>
        </ext>
      </extLst>
    </border>
    <border>
      <left style="thin">
        <color rgb="FFF3F3F3"/>
      </left>
      <right style="thin">
        <color rgb="FFF3F3F3"/>
      </right>
      <top style="thin">
        <color rgb="FFF3F3F3"/>
      </top>
      <bottom style="none">
        <color rgb="FF000000"/>
      </bottom>
      <extLst>
        <ext uri="smNativeData">
          <pm:border xmlns:pm="smNativeData" id="1758953923">
            <pm:line position="top" type="1" style="0" width="20" dist="20" width2="20" rgb="F3F3F3"/>
            <pm:line position="left" type="1" style="0" width="20" dist="20" width2="20" rgb="F3F3F3"/>
            <pm:line position="right" type="1" style="0" width="20" dist="20" width2="20" rgb="F3F3F3"/>
          </pm:border>
        </ext>
      </extLst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extLst>
        <ext uri="smNativeData">
          <pm:border xmlns:pm="smNativeData" id="1758953923">
            <pm:line position="top" type="1" style="0" width="20" dist="20" width2="20" rgb="F3F3F3"/>
            <pm:line position="bottom" type="1" style="0" width="20" dist="20" width2="20" rgb="F3F3F3"/>
            <pm:line position="left" type="1" style="0" width="20" dist="20" width2="20" rgb="F3F3F3"/>
            <pm:line position="right" type="1" style="0" width="20" dist="20" width2="20" rgb="F3F3F3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895392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F3F3F3"/>
      </right>
      <top style="thin">
        <color rgb="FFF3F3F3"/>
      </top>
      <bottom style="thin">
        <color rgb="FFF3F3F3"/>
      </bottom>
      <extLst>
        <ext uri="smNativeData">
          <pm:border xmlns:pm="smNativeData" id="1758953923">
            <pm:line position="top" type="1" style="0" width="20" dist="20" width2="20" rgb="F3F3F3"/>
            <pm:line position="bottom" type="1" style="0" width="20" dist="20" width2="20" rgb="F3F3F3"/>
            <pm:line position="right" type="1" style="0" width="20" dist="20" width2="20" rgb="F3F3F3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89539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89539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89539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8953923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8953923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8953923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8953923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89539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89539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89539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8953923">
            <pm:line position="bottom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4" fillId="6" borderId="5" xfId="0" applyFont="1" applyFill="1" applyAlignment="1">
      <alignment wrapText="1"/>
    </xf>
    <xf numFmtId="0" fontId="5" fillId="7" borderId="6" xfId="0" applyFont="1" applyFill="1" applyAlignment="1">
      <alignment wrapText="1"/>
    </xf>
    <xf numFmtId="0" fontId="5" fillId="0" borderId="0" xfId="0" applyFont="1" applyAlignment="1">
      <alignment wrapText="1"/>
    </xf>
    <xf numFmtId="9" fontId="5" fillId="0" borderId="0" xfId="0" applyNumberFormat="1" applyFont="1" applyAlignment="1">
      <alignment wrapText="1"/>
    </xf>
    <xf numFmtId="0" fontId="5" fillId="8" borderId="7" xfId="0" applyFont="1" applyFill="1" applyAlignment="1">
      <alignment wrapText="1"/>
    </xf>
    <xf numFmtId="9" fontId="5" fillId="8" borderId="7" xfId="0" applyNumberFormat="1" applyFont="1" applyFill="1" applyAlignment="1">
      <alignment wrapText="1"/>
    </xf>
    <xf numFmtId="0" fontId="5" fillId="9" borderId="8" xfId="0" applyFont="1" applyFill="1" applyAlignment="1">
      <alignment wrapText="1"/>
    </xf>
    <xf numFmtId="10" fontId="5" fillId="9" borderId="8" xfId="0" applyNumberFormat="1" applyFont="1" applyFill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2" fillId="0" borderId="9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 customBuiltin="1"/>
  </cellStyles>
  <dxfs count="106"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5895392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ont>
        <color rgb="FF0000FF"/>
        <extLst>
          <ext uri="smNativeData">
            <pm:charSpec xmlns:pm="smNativeData" id="175895392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ont>
        <color rgb="FF073763"/>
        <extLst>
          <ext uri="smNativeData">
            <pm:charSpec xmlns:pm="smNativeData" id="1758953923" fgClr="073763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5895392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FF0000"/>
        <extLst>
          <ext uri="smNativeData">
            <pm:charSpec xmlns:pm="smNativeData" id="175895392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660000"/>
        <extLst>
          <ext uri="smNativeData">
            <pm:charSpec xmlns:pm="smNativeData" id="1758953923" fgClr="66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5895392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9900FF"/>
        <extLst>
          <ext uri="smNativeData">
            <pm:charSpec xmlns:pm="smNativeData" id="175895392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20124D"/>
        <extLst>
          <ext uri="smNativeData">
            <pm:charSpec xmlns:pm="smNativeData" id="1758953923" fgClr="20124D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5895392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5895392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783F04"/>
        <extLst>
          <ext uri="smNativeData">
            <pm:charSpec xmlns:pm="smNativeData" id="1758953923" fgClr="783F04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5895392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5895392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58953923" type="1" fgLvl="100" fgClr="00EFEFEF" bgLvl="0" bgClr="00EFEFEF"/>
            </ext>
          </extLst>
        </patternFill>
      </fill>
    </dxf>
  </dxfs>
  <tableStyles count="0"/>
  <extLst>
    <ext uri="smNativeData">
      <pm:charStyles xmlns:pm="smNativeData" id="1758953923" count="1">
        <pm:charStyle name="보통" fontId="0" Id="1"/>
      </pm:charStyles>
      <pm:colors xmlns:pm="smNativeData" id="1758953923" count="14">
        <pm:color name="색: 24" rgb="B7B7B7"/>
        <pm:color name="색: 25" rgb="EFEFEF"/>
        <pm:color name="색: 26" rgb="CFE2F3"/>
        <pm:color name="색: 27" rgb="9FC5E8"/>
        <pm:color name="색: 28" rgb="F3F3F3"/>
        <pm:color name="색: 29" rgb="FF9900"/>
        <pm:color name="색: 30" rgb="FCE5CD"/>
        <pm:color name="색: 31" rgb="9900FF"/>
        <pm:color name="색: 32" rgb="D9D2E9"/>
        <pm:color name="색: 33" rgb="F4CCCC"/>
        <pm:color name="색: 34" rgb="783F04"/>
        <pm:color name="색: 35" rgb="20124D"/>
        <pm:color name="색: 36" rgb="660000"/>
        <pm:color name="색: 37" rgb="073763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Q48"/>
  <sheetViews>
    <sheetView tabSelected="1" view="normal" workbookViewId="0">
      <pane ySplit="1" topLeftCell="A2" activePane="bottomLeft" state="frozen"/>
      <selection pane="bottomLeft" activeCell="G30" sqref="G30"/>
    </sheetView>
  </sheetViews>
  <sheetFormatPr baseColWidth="11" defaultColWidth="12.567568" defaultRowHeight="12.75" customHeight="1"/>
  <cols>
    <col min="1" max="1" width="2.855856" customWidth="1"/>
    <col min="5" max="5" width="25.144144" customWidth="1"/>
    <col min="7" max="7" width="39.423423" customWidth="1"/>
    <col min="8" max="8" width="25.144144" customWidth="1"/>
    <col min="9" max="9" width="5.144144" customWidth="1"/>
    <col min="10" max="10" width="18.855856" customWidth="1"/>
    <col min="12" max="12" width="15.144144" customWidth="1"/>
  </cols>
  <sheetData>
    <row r="1" spans="1:12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2.75" customHeight="1">
      <c r="A2" s="3">
        <f>ROW()-2</f>
        <v>0</v>
      </c>
      <c r="B2" s="18" t="s">
        <v>12</v>
      </c>
      <c r="C2" s="3" t="s">
        <v>13</v>
      </c>
      <c r="D2" s="3" t="s">
        <v>12</v>
      </c>
      <c r="E2" s="4" t="s">
        <v>14</v>
      </c>
      <c r="F2" s="5"/>
      <c r="G2" s="5"/>
      <c r="H2" s="5"/>
      <c r="I2" s="3" t="s">
        <v>15</v>
      </c>
      <c r="J2" s="5"/>
      <c r="K2" s="5" t="s">
        <v>16</v>
      </c>
      <c r="L2" s="6" t="str">
        <f>IF(B2="",L1,B2)</f>
        <v>게임실행</v>
      </c>
    </row>
    <row r="3" spans="1:12" ht="12.75" customHeight="1">
      <c r="A3" s="3">
        <f>ROW()-2</f>
        <v>1</v>
      </c>
      <c r="B3" s="20"/>
      <c r="C3" s="18" t="s">
        <v>17</v>
      </c>
      <c r="D3" s="18" t="s">
        <v>18</v>
      </c>
      <c r="E3" s="7" t="s">
        <v>19</v>
      </c>
      <c r="F3" s="8"/>
      <c r="G3" s="8"/>
      <c r="H3" s="8"/>
      <c r="I3" s="3" t="s">
        <v>15</v>
      </c>
      <c r="J3" s="8"/>
      <c r="K3" s="8"/>
      <c r="L3" s="6" t="str">
        <f>IF(B3="",L2,B3)</f>
        <v>게임실행</v>
      </c>
    </row>
    <row r="4" spans="1:12" ht="12.75" customHeight="1">
      <c r="A4" s="3">
        <f>ROW()-2</f>
        <v>2</v>
      </c>
      <c r="B4" s="20"/>
      <c r="C4" s="20"/>
      <c r="D4" s="19"/>
      <c r="E4" s="7" t="s">
        <v>20</v>
      </c>
      <c r="F4" s="8"/>
      <c r="G4" s="8"/>
      <c r="H4" s="8"/>
      <c r="I4" s="3" t="s">
        <v>15</v>
      </c>
      <c r="J4" s="8"/>
      <c r="K4" s="8"/>
      <c r="L4" s="6" t="str">
        <f>IF(B4="",L3,B4)</f>
        <v>게임실행</v>
      </c>
    </row>
    <row r="5" spans="1:12" ht="12.75" customHeight="1">
      <c r="A5" s="3">
        <f>ROW()-2</f>
        <v>3</v>
      </c>
      <c r="B5" s="20"/>
      <c r="C5" s="20"/>
      <c r="D5" s="18" t="s">
        <v>21</v>
      </c>
      <c r="E5" s="7" t="s">
        <v>22</v>
      </c>
      <c r="F5" s="8"/>
      <c r="G5" s="8"/>
      <c r="H5" s="8"/>
      <c r="I5" s="3" t="s">
        <v>15</v>
      </c>
      <c r="J5" s="8"/>
      <c r="K5" s="8"/>
      <c r="L5" s="6" t="str">
        <f>IF(B5="",L4,B5)</f>
        <v>게임실행</v>
      </c>
    </row>
    <row r="6" spans="1:12" ht="12.75" customHeight="1">
      <c r="A6" s="3">
        <f>ROW()-2</f>
        <v>4</v>
      </c>
      <c r="B6" s="20"/>
      <c r="C6" s="20"/>
      <c r="D6" s="19"/>
      <c r="E6" s="7" t="s">
        <v>23</v>
      </c>
      <c r="F6" s="8"/>
      <c r="G6" s="8"/>
      <c r="H6" s="8"/>
      <c r="I6" s="3" t="s">
        <v>15</v>
      </c>
      <c r="J6" s="8"/>
      <c r="K6" s="8"/>
      <c r="L6" s="6" t="str">
        <f>IF(B6="",L5,B6)</f>
        <v>게임실행</v>
      </c>
    </row>
    <row r="7" spans="1:12" ht="12.75" customHeight="1">
      <c r="A7" s="3">
        <f>ROW()-2</f>
        <v>5</v>
      </c>
      <c r="B7" s="19"/>
      <c r="C7" s="19"/>
      <c r="D7" s="3" t="s">
        <v>24</v>
      </c>
      <c r="E7" s="7" t="s">
        <v>25</v>
      </c>
      <c r="F7" s="8"/>
      <c r="G7" s="8"/>
      <c r="H7" s="8"/>
      <c r="I7" s="3" t="s">
        <v>15</v>
      </c>
      <c r="J7" s="8"/>
      <c r="K7" s="8"/>
      <c r="L7" s="6" t="str">
        <f>IF(B7="",L6,B7)</f>
        <v>게임실행</v>
      </c>
    </row>
    <row r="8" spans="1:12" ht="12.75" customHeight="1">
      <c r="A8" s="3">
        <f>ROW()-2</f>
        <v>6</v>
      </c>
      <c r="B8" s="25" t="s">
        <v>26</v>
      </c>
      <c r="C8" s="18" t="s">
        <v>27</v>
      </c>
      <c r="D8" s="3" t="s">
        <v>28</v>
      </c>
      <c r="E8" s="7" t="s">
        <v>29</v>
      </c>
      <c r="F8" s="8"/>
      <c r="G8" s="8" t="s">
        <v>30</v>
      </c>
      <c r="H8" s="8" t="s">
        <v>31</v>
      </c>
      <c r="I8" s="3" t="s">
        <v>32</v>
      </c>
      <c r="J8" s="8"/>
      <c r="K8" s="8"/>
      <c r="L8" s="6" t="str">
        <f>IF(B8="",L7,B8)</f>
        <v>메뉴기능</v>
      </c>
    </row>
    <row r="9" spans="1:12" ht="12.75" customHeight="1">
      <c r="A9" s="3">
        <f>ROW()-2</f>
        <v>7</v>
      </c>
      <c r="B9" s="25"/>
      <c r="C9" s="20"/>
      <c r="D9" s="3" t="s">
        <v>33</v>
      </c>
      <c r="E9" s="7" t="s">
        <v>34</v>
      </c>
      <c r="F9" s="8"/>
      <c r="G9" s="8" t="s">
        <v>35</v>
      </c>
      <c r="H9" s="8" t="s">
        <v>36</v>
      </c>
      <c r="I9" s="3" t="s">
        <v>32</v>
      </c>
      <c r="J9" s="8"/>
      <c r="K9" s="8"/>
      <c r="L9" s="6" t="str">
        <f>IF(B9="",L8,B9)</f>
        <v>메뉴기능</v>
      </c>
    </row>
    <row r="10" spans="1:12" ht="12.75" customHeight="1">
      <c r="A10" s="3">
        <f>ROW()-2</f>
        <v>8</v>
      </c>
      <c r="B10" s="25"/>
      <c r="C10" s="20"/>
      <c r="D10" s="3" t="s">
        <v>37</v>
      </c>
      <c r="E10" s="7" t="s">
        <v>38</v>
      </c>
      <c r="F10" s="8"/>
      <c r="G10" s="8" t="s">
        <v>39</v>
      </c>
      <c r="H10" s="8" t="s">
        <v>40</v>
      </c>
      <c r="I10" s="3" t="s">
        <v>32</v>
      </c>
      <c r="J10" s="8"/>
      <c r="K10" s="8"/>
      <c r="L10" s="6" t="str">
        <f>IF(B10="",L9,B10)</f>
        <v>메뉴기능</v>
      </c>
    </row>
    <row r="11" spans="1:12" ht="12.75" customHeight="1">
      <c r="A11" s="3">
        <f>ROW()-2</f>
        <v>9</v>
      </c>
      <c r="B11" s="25"/>
      <c r="C11" s="20"/>
      <c r="D11" s="3" t="s">
        <v>41</v>
      </c>
      <c r="E11" s="7" t="s">
        <v>42</v>
      </c>
      <c r="F11" s="8"/>
      <c r="G11" s="8" t="s">
        <v>43</v>
      </c>
      <c r="H11" s="8" t="s">
        <v>44</v>
      </c>
      <c r="I11" s="3" t="s">
        <v>32</v>
      </c>
      <c r="J11" s="8"/>
      <c r="K11" s="8"/>
      <c r="L11" s="6" t="str">
        <f>IF(B11="",L10,B11)</f>
        <v>메뉴기능</v>
      </c>
    </row>
    <row r="12" spans="1:12" ht="12.75" customHeight="1">
      <c r="A12" s="3">
        <f>ROW()-2</f>
        <v>10</v>
      </c>
      <c r="B12" s="25"/>
      <c r="C12" s="20"/>
      <c r="D12" s="18" t="s">
        <v>45</v>
      </c>
      <c r="E12" s="7" t="s">
        <v>46</v>
      </c>
      <c r="F12" s="8"/>
      <c r="G12" s="8" t="s">
        <v>47</v>
      </c>
      <c r="H12" s="8" t="s">
        <v>48</v>
      </c>
      <c r="I12" s="3" t="s">
        <v>32</v>
      </c>
      <c r="J12" s="8"/>
      <c r="K12" s="8"/>
      <c r="L12" s="6" t="str">
        <f>IF(B12="",L11,B12)</f>
        <v>메뉴기능</v>
      </c>
    </row>
    <row r="13" spans="1:12" ht="12.75" customHeight="1">
      <c r="A13" s="3">
        <f>ROW()-2</f>
        <v>11</v>
      </c>
      <c r="B13" s="25"/>
      <c r="C13" s="20"/>
      <c r="D13" s="23" t="s">
        <v>49</v>
      </c>
      <c r="E13" s="7" t="s">
        <v>50</v>
      </c>
      <c r="F13" s="8"/>
      <c r="G13" s="8" t="s">
        <v>51</v>
      </c>
      <c r="H13" s="8" t="s">
        <v>52</v>
      </c>
      <c r="I13" s="3" t="s">
        <v>53</v>
      </c>
      <c r="J13" s="8" t="s">
        <v>54</v>
      </c>
      <c r="K13" s="8"/>
      <c r="L13" s="6" t="str">
        <f>IF(B13="",L12,B13)</f>
        <v>메뉴기능</v>
      </c>
    </row>
    <row r="14" spans="1:12" ht="12.75" customHeight="1">
      <c r="A14" s="3">
        <f>ROW()-2</f>
        <v>12</v>
      </c>
      <c r="B14" s="25"/>
      <c r="C14" s="20"/>
      <c r="D14" s="22" t="s">
        <v>55</v>
      </c>
      <c r="E14" s="7" t="s">
        <v>56</v>
      </c>
      <c r="F14" s="8"/>
      <c r="G14" s="8" t="s">
        <v>57</v>
      </c>
      <c r="H14" s="8" t="s">
        <v>58</v>
      </c>
      <c r="I14" s="3" t="s">
        <v>32</v>
      </c>
      <c r="J14" s="8"/>
      <c r="K14" s="8"/>
      <c r="L14" s="6" t="str">
        <f>IF(B14="",L13,B14)</f>
        <v>메뉴기능</v>
      </c>
    </row>
    <row r="15" spans="1:12" ht="12.75" customHeight="1">
      <c r="A15" s="3">
        <f>ROW()-2</f>
        <v>13</v>
      </c>
      <c r="B15" s="25"/>
      <c r="C15" s="20"/>
      <c r="D15" s="22"/>
      <c r="E15" s="7" t="s">
        <v>59</v>
      </c>
      <c r="F15" s="8"/>
      <c r="G15" s="8" t="s">
        <v>60</v>
      </c>
      <c r="H15" s="8" t="s">
        <v>61</v>
      </c>
      <c r="I15" s="3" t="s">
        <v>32</v>
      </c>
      <c r="J15" s="8"/>
      <c r="K15" s="8"/>
      <c r="L15" s="6" t="str">
        <f>IF(B15="",L14,B15)</f>
        <v>메뉴기능</v>
      </c>
    </row>
    <row r="16" spans="1:12" ht="12.75" customHeight="1">
      <c r="A16" s="3">
        <f>ROW()-2</f>
        <v>14</v>
      </c>
      <c r="B16" s="25"/>
      <c r="C16" s="20"/>
      <c r="D16" s="19"/>
      <c r="E16" s="7" t="s">
        <v>62</v>
      </c>
      <c r="F16" s="8"/>
      <c r="G16" s="8" t="s">
        <v>63</v>
      </c>
      <c r="H16" s="8" t="s">
        <v>64</v>
      </c>
      <c r="I16" s="3" t="s">
        <v>32</v>
      </c>
      <c r="J16" s="8"/>
      <c r="K16" s="8"/>
      <c r="L16" s="6" t="str">
        <f>IF(B16="",L15,B16)</f>
        <v>메뉴기능</v>
      </c>
    </row>
    <row r="17" spans="1:12" ht="12.75" customHeight="1">
      <c r="A17" s="3">
        <f>ROW()-2</f>
        <v>15</v>
      </c>
      <c r="B17" s="25"/>
      <c r="C17" s="20"/>
      <c r="D17" s="18" t="s">
        <v>65</v>
      </c>
      <c r="E17" s="7" t="s">
        <v>66</v>
      </c>
      <c r="F17" s="8"/>
      <c r="G17" s="8" t="s">
        <v>67</v>
      </c>
      <c r="H17" s="8" t="s">
        <v>68</v>
      </c>
      <c r="I17" s="3" t="s">
        <v>32</v>
      </c>
      <c r="J17" s="8"/>
      <c r="K17" s="8"/>
      <c r="L17" s="6" t="str">
        <f>IF(B17="",L16,B17)</f>
        <v>메뉴기능</v>
      </c>
    </row>
    <row r="18" spans="1:12" ht="12.75" customHeight="1">
      <c r="A18" s="3">
        <f>ROW()-2</f>
        <v>16</v>
      </c>
      <c r="B18" s="25"/>
      <c r="C18" s="20"/>
      <c r="D18" s="19"/>
      <c r="E18" s="7" t="s">
        <v>69</v>
      </c>
      <c r="F18" s="8"/>
      <c r="G18" s="8" t="s">
        <v>70</v>
      </c>
      <c r="H18" s="8" t="s">
        <v>71</v>
      </c>
      <c r="I18" s="3" t="s">
        <v>32</v>
      </c>
      <c r="J18" s="8"/>
      <c r="K18" s="8"/>
      <c r="L18" s="6" t="str">
        <f>IF(B18="",L17,B18)</f>
        <v>메뉴기능</v>
      </c>
    </row>
    <row r="19" spans="1:12" ht="12.75" customHeight="1">
      <c r="A19" s="3">
        <f>ROW()-2</f>
        <v>17</v>
      </c>
      <c r="B19" s="25"/>
      <c r="C19" s="20"/>
      <c r="D19" s="18" t="s">
        <v>72</v>
      </c>
      <c r="E19" s="7" t="s">
        <v>73</v>
      </c>
      <c r="F19" s="8"/>
      <c r="G19" s="8" t="s">
        <v>74</v>
      </c>
      <c r="H19" s="8" t="s">
        <v>75</v>
      </c>
      <c r="I19" s="3" t="s">
        <v>32</v>
      </c>
      <c r="J19" s="8"/>
      <c r="K19" s="8"/>
      <c r="L19" s="6" t="str">
        <f>IF(B19="",L18,B19)</f>
        <v>메뉴기능</v>
      </c>
    </row>
    <row r="20" spans="1:12" ht="12.75" customHeight="1">
      <c r="A20" s="3">
        <f>ROW()-2</f>
        <v>18</v>
      </c>
      <c r="B20" s="25"/>
      <c r="C20" s="20"/>
      <c r="D20" s="19"/>
      <c r="E20" s="7" t="s">
        <v>76</v>
      </c>
      <c r="F20" s="8"/>
      <c r="G20" s="8" t="s">
        <v>77</v>
      </c>
      <c r="H20" s="8" t="s">
        <v>71</v>
      </c>
      <c r="I20" s="3" t="s">
        <v>32</v>
      </c>
      <c r="J20" s="8"/>
      <c r="K20" s="8"/>
      <c r="L20" s="6" t="str">
        <f>IF(B20="",L19,B20)</f>
        <v>메뉴기능</v>
      </c>
    </row>
    <row r="21" spans="1:12" ht="12.75" customHeight="1">
      <c r="A21" s="3">
        <f>ROW()-2</f>
        <v>19</v>
      </c>
      <c r="B21" s="25"/>
      <c r="C21" s="20"/>
      <c r="D21" s="3" t="s">
        <v>78</v>
      </c>
      <c r="E21" s="7" t="s">
        <v>79</v>
      </c>
      <c r="F21" s="8"/>
      <c r="G21" s="8" t="s">
        <v>80</v>
      </c>
      <c r="H21" s="8" t="s">
        <v>81</v>
      </c>
      <c r="I21" s="3" t="s">
        <v>32</v>
      </c>
      <c r="J21" s="8"/>
      <c r="K21" s="8"/>
      <c r="L21" s="6" t="str">
        <f>IF(B21="",L20,B21)</f>
        <v>메뉴기능</v>
      </c>
    </row>
    <row r="22" spans="1:12" ht="12.75" customHeight="1">
      <c r="A22" s="3">
        <f>ROW()-2</f>
        <v>20</v>
      </c>
      <c r="B22" s="25"/>
      <c r="C22" s="20"/>
      <c r="D22" s="19"/>
      <c r="E22" s="7" t="s">
        <v>82</v>
      </c>
      <c r="F22" s="8"/>
      <c r="G22" s="8" t="s">
        <v>83</v>
      </c>
      <c r="H22" s="8" t="s">
        <v>84</v>
      </c>
      <c r="I22" s="3" t="s">
        <v>85</v>
      </c>
      <c r="J22" s="3" t="s">
        <v>86</v>
      </c>
      <c r="K22" s="8"/>
      <c r="L22" s="6" t="str">
        <f>IF(B22="",L21,B22)</f>
        <v>메뉴기능</v>
      </c>
    </row>
    <row r="23" spans="1:12" ht="12.75" customHeight="1">
      <c r="A23" s="3">
        <f>ROW()-2</f>
        <v>21</v>
      </c>
      <c r="B23" s="25"/>
      <c r="C23" s="20"/>
      <c r="D23" s="18"/>
      <c r="E23" s="7" t="s">
        <v>87</v>
      </c>
      <c r="F23" s="8"/>
      <c r="G23" s="8" t="s">
        <v>88</v>
      </c>
      <c r="H23" s="24" t="s">
        <v>89</v>
      </c>
      <c r="I23" s="3" t="s">
        <v>85</v>
      </c>
      <c r="J23" s="3"/>
      <c r="K23" s="8"/>
      <c r="L23" s="6" t="str">
        <f>IF(B23="",L22,B23)</f>
        <v>메뉴기능</v>
      </c>
    </row>
    <row r="24" spans="1:12" ht="12.75" customHeight="1">
      <c r="A24" s="3">
        <f>ROW()-2</f>
        <v>22</v>
      </c>
      <c r="B24" s="25"/>
      <c r="C24" s="20"/>
      <c r="D24" s="19"/>
      <c r="E24" s="7" t="s">
        <v>90</v>
      </c>
      <c r="F24" s="8"/>
      <c r="G24" s="8" t="s">
        <v>91</v>
      </c>
      <c r="H24" s="24" t="s">
        <v>89</v>
      </c>
      <c r="I24" s="3" t="s">
        <v>85</v>
      </c>
      <c r="J24" s="3"/>
      <c r="K24" s="8"/>
      <c r="L24" s="6" t="str">
        <f>IF(B24="",L23,B24)</f>
        <v>메뉴기능</v>
      </c>
    </row>
    <row r="25" spans="1:12" ht="12.75" customHeight="1">
      <c r="A25" s="3">
        <f>ROW()-2</f>
        <v>23</v>
      </c>
      <c r="B25" s="26"/>
      <c r="C25" s="19"/>
      <c r="D25" s="3" t="s">
        <v>92</v>
      </c>
      <c r="E25" s="7" t="s">
        <v>93</v>
      </c>
      <c r="F25" s="8" t="s">
        <v>94</v>
      </c>
      <c r="G25" s="8" t="s">
        <v>95</v>
      </c>
      <c r="H25" s="8" t="s">
        <v>96</v>
      </c>
      <c r="I25" s="3" t="s">
        <v>32</v>
      </c>
      <c r="J25" s="8"/>
      <c r="K25" s="8"/>
      <c r="L25" s="6" t="str">
        <f>IF(B25="",L24,B25)</f>
        <v>메뉴기능</v>
      </c>
    </row>
    <row r="26" spans="1:1" ht="12.75" customHeight="1">
      <c r="A26" s="3">
        <f>ROW()-2</f>
        <v>24</v>
      </c>
    </row>
    <row r="27" spans="1:1" ht="12.75" customHeight="1">
      <c r="A27" s="3">
        <f>ROW()-2</f>
        <v>25</v>
      </c>
    </row>
    <row r="28" spans="1:1" ht="12.75" customHeight="1">
      <c r="A28" s="3">
        <f>ROW()-2</f>
        <v>26</v>
      </c>
    </row>
    <row r="29" spans="1:1" ht="12.75" customHeight="1">
      <c r="A29" s="3">
        <f>ROW()-2</f>
        <v>27</v>
      </c>
    </row>
    <row r="30" spans="1:1" ht="12.75" customHeight="1">
      <c r="A30" s="3">
        <f>ROW()-2</f>
        <v>28</v>
      </c>
    </row>
    <row r="31" spans="1:1" ht="12.75" customHeight="1">
      <c r="A31" s="3">
        <f>ROW()-2</f>
        <v>29</v>
      </c>
    </row>
    <row r="32" spans="1:1" ht="12.75" customHeight="1">
      <c r="A32" s="3">
        <f>ROW()-2</f>
        <v>30</v>
      </c>
    </row>
    <row r="33" spans="1:12" ht="12.75" customHeight="1">
      <c r="A33" s="3">
        <f>ROW()-2</f>
        <v>31</v>
      </c>
      <c r="B33" s="18" t="s">
        <v>97</v>
      </c>
      <c r="C33" s="18" t="s">
        <v>98</v>
      </c>
      <c r="D33" s="18" t="s">
        <v>99</v>
      </c>
      <c r="E33" s="7" t="s">
        <v>100</v>
      </c>
      <c r="F33" s="8"/>
      <c r="G33" s="8" t="s">
        <v>101</v>
      </c>
      <c r="H33" s="8" t="s">
        <v>102</v>
      </c>
      <c r="I33" s="3"/>
      <c r="J33" s="8"/>
      <c r="K33" s="8"/>
      <c r="L33" s="6" t="str">
        <f>IF(B33="",L36,B33)</f>
        <v>인게임기능</v>
      </c>
    </row>
    <row r="34" spans="1:12" ht="12.75" customHeight="1">
      <c r="A34" s="3">
        <f>ROW()-2</f>
        <v>32</v>
      </c>
      <c r="B34" s="20"/>
      <c r="C34" s="20"/>
      <c r="D34" s="19"/>
      <c r="E34" s="7" t="s">
        <v>103</v>
      </c>
      <c r="F34" s="8"/>
      <c r="G34" s="8" t="s">
        <v>104</v>
      </c>
      <c r="H34" s="8" t="s">
        <v>105</v>
      </c>
      <c r="I34" s="3"/>
      <c r="J34" s="8"/>
      <c r="K34" s="8"/>
      <c r="L34" s="6" t="str">
        <f>IF(B34="",L33,B34)</f>
        <v>인게임기능</v>
      </c>
    </row>
    <row r="35" spans="1:12" ht="12.75" customHeight="1">
      <c r="A35" s="3">
        <f>ROW()-2</f>
        <v>33</v>
      </c>
      <c r="B35" s="20"/>
      <c r="C35" s="20"/>
      <c r="D35" s="18" t="s">
        <v>106</v>
      </c>
      <c r="E35" s="7" t="s">
        <v>107</v>
      </c>
      <c r="F35" s="8" t="s">
        <v>108</v>
      </c>
      <c r="G35" s="8" t="s">
        <v>109</v>
      </c>
      <c r="H35" s="8" t="s">
        <v>110</v>
      </c>
      <c r="I35" s="3"/>
      <c r="J35" s="8"/>
      <c r="K35" s="8"/>
      <c r="L35" s="6" t="str">
        <f>IF(B35="",L34,B35)</f>
        <v>인게임기능</v>
      </c>
    </row>
    <row r="36" spans="1:12" ht="12.75" customHeight="1">
      <c r="A36" s="3">
        <f>ROW()-2</f>
        <v>34</v>
      </c>
      <c r="B36" s="20"/>
      <c r="C36" s="20"/>
      <c r="D36" s="19"/>
      <c r="E36" s="7" t="s">
        <v>111</v>
      </c>
      <c r="F36" s="8" t="s">
        <v>112</v>
      </c>
      <c r="G36" s="8" t="s">
        <v>113</v>
      </c>
      <c r="H36" s="8" t="s">
        <v>114</v>
      </c>
      <c r="I36" s="3"/>
      <c r="J36" s="8"/>
      <c r="K36" s="8"/>
      <c r="L36" s="6" t="str">
        <f>IF(B36="",L35,B36)</f>
        <v>인게임기능</v>
      </c>
    </row>
    <row r="37" spans="1:12" ht="12.75" customHeight="1">
      <c r="A37" s="3">
        <f>ROW()-2</f>
        <v>35</v>
      </c>
      <c r="B37" s="20"/>
      <c r="C37" s="20"/>
      <c r="D37" s="18" t="s">
        <v>115</v>
      </c>
      <c r="E37" s="7" t="s">
        <v>116</v>
      </c>
      <c r="F37" s="8"/>
      <c r="G37" s="8" t="s">
        <v>117</v>
      </c>
      <c r="H37" s="8" t="s">
        <v>118</v>
      </c>
      <c r="I37" s="3"/>
      <c r="J37" s="8"/>
      <c r="K37" s="8"/>
      <c r="L37" s="6" t="str">
        <f>IF(B37="",L36,B37)</f>
        <v>인게임기능</v>
      </c>
    </row>
    <row r="38" spans="1:12" ht="12.75" customHeight="1">
      <c r="A38" s="3">
        <f>ROW()-2</f>
        <v>36</v>
      </c>
      <c r="B38" s="20"/>
      <c r="C38" s="19"/>
      <c r="D38" s="19"/>
      <c r="E38" s="7" t="s">
        <v>119</v>
      </c>
      <c r="F38" s="8"/>
      <c r="G38" s="8" t="s">
        <v>120</v>
      </c>
      <c r="H38" s="8" t="s">
        <v>121</v>
      </c>
      <c r="I38" s="3"/>
      <c r="J38" s="8"/>
      <c r="K38" s="8"/>
      <c r="L38" s="6" t="str">
        <f>IF(B38="",L37,B38)</f>
        <v>인게임기능</v>
      </c>
    </row>
    <row r="39" spans="1:17" ht="12.75" customHeight="1">
      <c r="A39" s="3">
        <f>ROW()-2</f>
        <v>37</v>
      </c>
      <c r="B39" s="20"/>
      <c r="C39" s="18" t="s">
        <v>98</v>
      </c>
      <c r="D39" s="18" t="s">
        <v>122</v>
      </c>
      <c r="E39" s="7" t="s">
        <v>123</v>
      </c>
      <c r="F39" s="8" t="s">
        <v>124</v>
      </c>
      <c r="G39" s="8" t="s">
        <v>125</v>
      </c>
      <c r="H39" s="8" t="s">
        <v>126</v>
      </c>
      <c r="I39" s="3"/>
      <c r="J39" s="8"/>
      <c r="K39" s="8"/>
      <c r="L39" s="6" t="str">
        <f>IF(B39="",L38,B39)</f>
        <v>인게임기능</v>
      </c>
      <c r="Q39" s="3" t="s">
        <v>32</v>
      </c>
    </row>
    <row r="40" spans="1:17" ht="12.75" customHeight="1">
      <c r="A40" s="3">
        <f>ROW()-2</f>
        <v>38</v>
      </c>
      <c r="B40" s="20"/>
      <c r="C40" s="20"/>
      <c r="D40" s="20"/>
      <c r="E40" s="7" t="s">
        <v>127</v>
      </c>
      <c r="F40" s="8"/>
      <c r="G40" s="8" t="s">
        <v>128</v>
      </c>
      <c r="H40" s="8" t="s">
        <v>129</v>
      </c>
      <c r="I40" s="3"/>
      <c r="J40" s="8"/>
      <c r="K40" s="8"/>
      <c r="L40" s="6" t="str">
        <f>IF(B40="",L39,B40)</f>
        <v>인게임기능</v>
      </c>
      <c r="P40" s="5" t="s">
        <v>130</v>
      </c>
      <c r="Q40" s="3" t="s">
        <v>15</v>
      </c>
    </row>
    <row r="41" spans="1:17" ht="12.75" customHeight="1">
      <c r="A41" s="3">
        <f>ROW()-2</f>
        <v>39</v>
      </c>
      <c r="B41" s="20"/>
      <c r="C41" s="20"/>
      <c r="D41" s="20"/>
      <c r="E41" s="7" t="s">
        <v>131</v>
      </c>
      <c r="F41" s="8"/>
      <c r="G41" s="8" t="s">
        <v>132</v>
      </c>
      <c r="H41" s="8" t="s">
        <v>133</v>
      </c>
      <c r="I41" s="3"/>
      <c r="J41" s="8"/>
      <c r="K41" s="8"/>
      <c r="L41" s="6" t="str">
        <f>IF(B41="",L40,B41)</f>
        <v>인게임기능</v>
      </c>
      <c r="P41" s="8" t="s">
        <v>134</v>
      </c>
      <c r="Q41" s="3" t="s">
        <v>85</v>
      </c>
    </row>
    <row r="42" spans="1:17" ht="12.75" customHeight="1">
      <c r="A42" s="3">
        <f>ROW()-2</f>
        <v>40</v>
      </c>
      <c r="B42" s="20"/>
      <c r="C42" s="20"/>
      <c r="D42" s="19"/>
      <c r="E42" s="7" t="s">
        <v>135</v>
      </c>
      <c r="F42" s="8"/>
      <c r="G42" s="8" t="s">
        <v>136</v>
      </c>
      <c r="H42" s="8" t="s">
        <v>137</v>
      </c>
      <c r="I42" s="3"/>
      <c r="J42" s="8"/>
      <c r="K42" s="8"/>
      <c r="L42" s="6" t="str">
        <f>IF(B42="",L41,B42)</f>
        <v>인게임기능</v>
      </c>
      <c r="P42" s="8" t="s">
        <v>138</v>
      </c>
      <c r="Q42" s="3" t="s">
        <v>139</v>
      </c>
    </row>
    <row r="43" spans="1:17" ht="12.75" customHeight="1">
      <c r="A43" s="3">
        <f>ROW()-2</f>
        <v>41</v>
      </c>
      <c r="B43" s="20"/>
      <c r="C43" s="20"/>
      <c r="D43" s="3" t="s">
        <v>140</v>
      </c>
      <c r="E43" s="7" t="s">
        <v>141</v>
      </c>
      <c r="F43" s="8" t="s">
        <v>142</v>
      </c>
      <c r="G43" s="8" t="s">
        <v>143</v>
      </c>
      <c r="H43" s="8" t="s">
        <v>144</v>
      </c>
      <c r="I43" s="3"/>
      <c r="J43" s="8"/>
      <c r="K43" s="8"/>
      <c r="L43" s="6" t="str">
        <f>IF(B43="",L42,B43)</f>
        <v>인게임기능</v>
      </c>
      <c r="P43" s="8" t="s">
        <v>145</v>
      </c>
      <c r="Q43" s="3" t="s">
        <v>53</v>
      </c>
    </row>
    <row r="44" spans="1:17" ht="12.75" customHeight="1">
      <c r="A44" s="3">
        <f>ROW()-2</f>
        <v>42</v>
      </c>
      <c r="B44" s="20"/>
      <c r="C44" s="20"/>
      <c r="D44" s="18" t="s">
        <v>146</v>
      </c>
      <c r="E44" s="21" t="s">
        <v>147</v>
      </c>
      <c r="F44" s="8" t="s">
        <v>148</v>
      </c>
      <c r="G44" s="8" t="s">
        <v>149</v>
      </c>
      <c r="H44" s="8" t="s">
        <v>150</v>
      </c>
      <c r="I44" s="3"/>
      <c r="J44" s="8"/>
      <c r="K44" s="8"/>
      <c r="L44" s="6" t="str">
        <f>IF(B44="",L43,B44)</f>
        <v>인게임기능</v>
      </c>
      <c r="P44" s="8" t="s">
        <v>151</v>
      </c>
      <c r="Q44" s="3" t="s">
        <v>15</v>
      </c>
    </row>
    <row r="45" spans="1:12" ht="12.75" customHeight="1">
      <c r="A45" s="3">
        <f>ROW()-2</f>
        <v>43</v>
      </c>
      <c r="B45" s="20"/>
      <c r="C45" s="20"/>
      <c r="D45" s="19"/>
      <c r="E45" s="19"/>
      <c r="F45" s="8" t="s">
        <v>152</v>
      </c>
      <c r="G45" s="8" t="s">
        <v>149</v>
      </c>
      <c r="H45" s="8" t="s">
        <v>153</v>
      </c>
      <c r="I45" s="3"/>
      <c r="J45" s="8"/>
      <c r="K45" s="8"/>
      <c r="L45" s="6" t="str">
        <f>IF(B45="",L44,B45)</f>
        <v>인게임기능</v>
      </c>
    </row>
    <row r="46" spans="2:12" ht="12.75" customHeight="1">
      <c r="B46" s="20"/>
      <c r="C46" s="20"/>
      <c r="D46" s="3" t="s">
        <v>154</v>
      </c>
      <c r="E46" s="7" t="s">
        <v>155</v>
      </c>
      <c r="F46" s="8"/>
      <c r="G46" s="8" t="s">
        <v>136</v>
      </c>
      <c r="H46" s="8" t="s">
        <v>137</v>
      </c>
      <c r="I46" s="3"/>
      <c r="J46" s="8"/>
      <c r="K46" s="8"/>
      <c r="L46" s="6" t="str">
        <f>IF(B46="",L45,B46)</f>
        <v>인게임기능</v>
      </c>
    </row>
    <row r="47" spans="2:12" ht="12.75" customHeight="1">
      <c r="B47" s="20"/>
      <c r="C47" s="20"/>
      <c r="D47" s="3" t="s">
        <v>156</v>
      </c>
      <c r="E47" s="7" t="s">
        <v>157</v>
      </c>
      <c r="F47" s="8"/>
      <c r="G47" s="8" t="s">
        <v>158</v>
      </c>
      <c r="H47" s="8" t="s">
        <v>159</v>
      </c>
      <c r="I47" s="3"/>
      <c r="J47" s="8"/>
      <c r="K47" s="8"/>
      <c r="L47" s="6" t="str">
        <f>IF(B47="",L46,B47)</f>
        <v>인게임기능</v>
      </c>
    </row>
    <row r="48" spans="2:12" ht="12.75" customHeight="1">
      <c r="B48" s="19"/>
      <c r="C48" s="19"/>
      <c r="D48" s="3" t="s">
        <v>160</v>
      </c>
      <c r="E48" s="7" t="s">
        <v>161</v>
      </c>
      <c r="F48" s="8" t="s">
        <v>162</v>
      </c>
      <c r="G48" s="8" t="s">
        <v>163</v>
      </c>
      <c r="H48" s="8" t="s">
        <v>164</v>
      </c>
      <c r="I48" s="3"/>
      <c r="J48" s="8"/>
      <c r="K48" s="8"/>
      <c r="L48" s="6" t="str">
        <f>IF(B48="",L47,B48)</f>
        <v>인게임기능</v>
      </c>
    </row>
  </sheetData>
  <mergeCells count="20">
    <mergeCell ref="B2:B7"/>
    <mergeCell ref="K2:K7"/>
    <mergeCell ref="D3:D4"/>
    <mergeCell ref="C3:C7"/>
    <mergeCell ref="D5:D6"/>
    <mergeCell ref="B8:B25"/>
    <mergeCell ref="C8:C25"/>
    <mergeCell ref="D14:D16"/>
    <mergeCell ref="D17:D18"/>
    <mergeCell ref="D19:D20"/>
    <mergeCell ref="D21:D24"/>
    <mergeCell ref="J22:J24"/>
    <mergeCell ref="D33:D34"/>
    <mergeCell ref="B33:B48"/>
    <mergeCell ref="C33:C48"/>
    <mergeCell ref="D35:D36"/>
    <mergeCell ref="D37:D38"/>
    <mergeCell ref="D39:D42"/>
    <mergeCell ref="D44:D45"/>
    <mergeCell ref="E44:E45"/>
  </mergeCells>
  <conditionalFormatting sqref="I22:I24">
    <cfRule type="containsText" dxfId="0" priority="1" operator="containsText" text="Pass">
      <formula>NOT(ISERROR(SEARCH("Pass", I21)))</formula>
    </cfRule>
  </conditionalFormatting>
  <conditionalFormatting sqref="I22:I24">
    <cfRule type="containsText" dxfId="1" priority="2" operator="containsText" text="Fail">
      <formula>NOT(ISERROR(SEARCH("Fail", I21)))</formula>
    </cfRule>
  </conditionalFormatting>
  <conditionalFormatting sqref="I22:I24">
    <cfRule type="containsText" dxfId="2" priority="3" operator="containsText" text="Block">
      <formula>NOT(ISERROR(SEARCH("Block", I21)))</formula>
    </cfRule>
  </conditionalFormatting>
  <conditionalFormatting sqref="I22:I24">
    <cfRule type="containsText" dxfId="3" priority="4" operator="containsText" text="N/A">
      <formula>NOT(ISERROR(SEARCH("N/A", I21)))</formula>
    </cfRule>
  </conditionalFormatting>
  <conditionalFormatting sqref="I22:I24">
    <cfRule type="containsText" dxfId="4" priority="5" operator="containsText" text="N/T">
      <formula>NOT(ISERROR(SEARCH("N/T", I20)))</formula>
    </cfRule>
  </conditionalFormatting>
  <conditionalFormatting sqref="I22:I24">
    <cfRule type="containsBlanks" dxfId="5" priority="6">
      <formula>LEN(TRIM(I20))=0</formula>
    </cfRule>
  </conditionalFormatting>
  <conditionalFormatting sqref="I21">
    <cfRule type="containsText" dxfId="6" priority="7" operator="containsText" text="Block">
      <formula>NOT(ISERROR(SEARCH("Block", I11)))</formula>
    </cfRule>
  </conditionalFormatting>
  <conditionalFormatting sqref="I21">
    <cfRule type="containsText" dxfId="7" priority="8" operator="containsText" text="Fail">
      <formula>NOT(ISERROR(SEARCH("Fail", I11)))</formula>
    </cfRule>
  </conditionalFormatting>
  <conditionalFormatting sqref="I21">
    <cfRule type="containsText" dxfId="8" priority="9" operator="containsText" text="Pass">
      <formula>NOT(ISERROR(SEARCH("Pass", I11)))</formula>
    </cfRule>
  </conditionalFormatting>
  <conditionalFormatting sqref="I21">
    <cfRule type="containsBlanks" dxfId="9" priority="10">
      <formula>LEN(TRIM(I10))=0</formula>
    </cfRule>
  </conditionalFormatting>
  <conditionalFormatting sqref="I21">
    <cfRule type="containsText" dxfId="10" priority="11" operator="containsText" text="N/T">
      <formula>NOT(ISERROR(SEARCH("N/T", I10)))</formula>
    </cfRule>
  </conditionalFormatting>
  <conditionalFormatting sqref="I21">
    <cfRule type="containsText" dxfId="11" priority="12" operator="containsText" text="N/A">
      <formula>NOT(ISERROR(SEARCH("N/A", I11)))</formula>
    </cfRule>
  </conditionalFormatting>
  <conditionalFormatting sqref="I25">
    <cfRule type="containsText" dxfId="12" priority="13" operator="containsText" text="Block">
      <formula>NOT(ISERROR(SEARCH("Block", I15)))</formula>
    </cfRule>
  </conditionalFormatting>
  <conditionalFormatting sqref="I25">
    <cfRule type="containsText" dxfId="13" priority="14" operator="containsText" text="Fail">
      <formula>NOT(ISERROR(SEARCH("Fail", I15)))</formula>
    </cfRule>
  </conditionalFormatting>
  <conditionalFormatting sqref="I25">
    <cfRule type="containsText" dxfId="14" priority="15" operator="containsText" text="Pass">
      <formula>NOT(ISERROR(SEARCH("Pass", I15)))</formula>
    </cfRule>
  </conditionalFormatting>
  <conditionalFormatting sqref="I25">
    <cfRule type="containsBlanks" dxfId="15" priority="16">
      <formula>LEN(TRIM(I14))=0</formula>
    </cfRule>
  </conditionalFormatting>
  <conditionalFormatting sqref="I25">
    <cfRule type="containsText" dxfId="16" priority="17" operator="containsText" text="N/T">
      <formula>NOT(ISERROR(SEARCH("N/T", I14)))</formula>
    </cfRule>
  </conditionalFormatting>
  <conditionalFormatting sqref="I25">
    <cfRule type="containsText" dxfId="17" priority="18" operator="containsText" text="N/A">
      <formula>NOT(ISERROR(SEARCH("N/A", I15)))</formula>
    </cfRule>
  </conditionalFormatting>
  <conditionalFormatting sqref="I19">
    <cfRule type="containsText" dxfId="18" priority="19" operator="containsText" text="N/T">
      <formula>NOT(ISERROR(SEARCH("N/T", I8)))</formula>
    </cfRule>
  </conditionalFormatting>
  <conditionalFormatting sqref="I19">
    <cfRule type="containsText" dxfId="19" priority="20" operator="containsText" text="N/A">
      <formula>NOT(ISERROR(SEARCH("N/A", I9)))</formula>
    </cfRule>
  </conditionalFormatting>
  <conditionalFormatting sqref="I19">
    <cfRule type="containsText" dxfId="20" priority="21" operator="containsText" text="Block">
      <formula>NOT(ISERROR(SEARCH("Block", I9)))</formula>
    </cfRule>
  </conditionalFormatting>
  <conditionalFormatting sqref="I19">
    <cfRule type="containsText" dxfId="21" priority="22" operator="containsText" text="Fail">
      <formula>NOT(ISERROR(SEARCH("Fail", I9)))</formula>
    </cfRule>
  </conditionalFormatting>
  <conditionalFormatting sqref="I19">
    <cfRule type="containsText" dxfId="22" priority="23" operator="containsText" text="Pass">
      <formula>NOT(ISERROR(SEARCH("Pass", I9)))</formula>
    </cfRule>
  </conditionalFormatting>
  <conditionalFormatting sqref="I19">
    <cfRule type="containsBlanks" dxfId="23" priority="24">
      <formula>LEN(TRIM(I8))=0</formula>
    </cfRule>
  </conditionalFormatting>
  <conditionalFormatting sqref="I20">
    <cfRule type="containsText" dxfId="24" priority="25" operator="containsText" text="N/T">
      <formula>NOT(ISERROR(SEARCH("N/T", I9)))</formula>
    </cfRule>
  </conditionalFormatting>
  <conditionalFormatting sqref="I20">
    <cfRule type="containsBlanks" dxfId="25" priority="26">
      <formula>LEN(TRIM(I9))=0</formula>
    </cfRule>
  </conditionalFormatting>
  <conditionalFormatting sqref="I20">
    <cfRule type="containsText" dxfId="26" priority="27" operator="containsText" text="Pass">
      <formula>NOT(ISERROR(SEARCH("Pass", I10)))</formula>
    </cfRule>
  </conditionalFormatting>
  <conditionalFormatting sqref="I20">
    <cfRule type="containsText" dxfId="27" priority="28" operator="containsText" text="Fail">
      <formula>NOT(ISERROR(SEARCH("Fail", I10)))</formula>
    </cfRule>
  </conditionalFormatting>
  <conditionalFormatting sqref="I20">
    <cfRule type="containsText" dxfId="28" priority="29" operator="containsText" text="Block">
      <formula>NOT(ISERROR(SEARCH("Block", I10)))</formula>
    </cfRule>
  </conditionalFormatting>
  <conditionalFormatting sqref="I20">
    <cfRule type="containsText" dxfId="29" priority="30" operator="containsText" text="N/A">
      <formula>NOT(ISERROR(SEARCH("N/A", I10)))</formula>
    </cfRule>
  </conditionalFormatting>
  <conditionalFormatting sqref="I17">
    <cfRule type="containsText" dxfId="30" priority="31" operator="containsText" text="N/T">
      <formula>NOT(ISERROR(SEARCH("N/T", I6)))</formula>
    </cfRule>
  </conditionalFormatting>
  <conditionalFormatting sqref="I17">
    <cfRule type="containsText" dxfId="31" priority="32" operator="containsText" text="N/A">
      <formula>NOT(ISERROR(SEARCH("N/A", I7)))</formula>
    </cfRule>
  </conditionalFormatting>
  <conditionalFormatting sqref="I17">
    <cfRule type="containsText" dxfId="32" priority="33" operator="containsText" text="Block">
      <formula>NOT(ISERROR(SEARCH("Block", I7)))</formula>
    </cfRule>
  </conditionalFormatting>
  <conditionalFormatting sqref="I17">
    <cfRule type="containsText" dxfId="33" priority="34" operator="containsText" text="Fail">
      <formula>NOT(ISERROR(SEARCH("Fail", I7)))</formula>
    </cfRule>
  </conditionalFormatting>
  <conditionalFormatting sqref="I17">
    <cfRule type="containsText" dxfId="34" priority="35" operator="containsText" text="Pass">
      <formula>NOT(ISERROR(SEARCH("Pass", I7)))</formula>
    </cfRule>
  </conditionalFormatting>
  <conditionalFormatting sqref="I17">
    <cfRule type="containsBlanks" dxfId="35" priority="36">
      <formula>LEN(TRIM(I6))=0</formula>
    </cfRule>
  </conditionalFormatting>
  <conditionalFormatting sqref="I18">
    <cfRule type="containsText" dxfId="36" priority="37" operator="containsText" text="N/T">
      <formula>NOT(ISERROR(SEARCH("N/T", I7)))</formula>
    </cfRule>
  </conditionalFormatting>
  <conditionalFormatting sqref="I18">
    <cfRule type="containsBlanks" dxfId="37" priority="38">
      <formula>LEN(TRIM(I7))=0</formula>
    </cfRule>
  </conditionalFormatting>
  <conditionalFormatting sqref="I18">
    <cfRule type="containsText" dxfId="38" priority="39" operator="containsText" text="Pass">
      <formula>NOT(ISERROR(SEARCH("Pass", I8)))</formula>
    </cfRule>
  </conditionalFormatting>
  <conditionalFormatting sqref="I18">
    <cfRule type="containsText" dxfId="39" priority="40" operator="containsText" text="Fail">
      <formula>NOT(ISERROR(SEARCH("Fail", I8)))</formula>
    </cfRule>
  </conditionalFormatting>
  <conditionalFormatting sqref="I18">
    <cfRule type="containsText" dxfId="40" priority="41" operator="containsText" text="Block">
      <formula>NOT(ISERROR(SEARCH("Block", I8)))</formula>
    </cfRule>
  </conditionalFormatting>
  <conditionalFormatting sqref="I18">
    <cfRule type="containsText" dxfId="41" priority="42" operator="containsText" text="N/A">
      <formula>NOT(ISERROR(SEARCH("N/A", I8)))</formula>
    </cfRule>
  </conditionalFormatting>
  <conditionalFormatting sqref="I16">
    <cfRule type="containsText" dxfId="42" priority="43" operator="containsText" text="N/A">
      <formula>NOT(ISERROR(SEARCH("N/A", I6)))</formula>
    </cfRule>
  </conditionalFormatting>
  <conditionalFormatting sqref="I16">
    <cfRule type="containsText" dxfId="43" priority="44" operator="containsText" text="Block">
      <formula>NOT(ISERROR(SEARCH("Block", I6)))</formula>
    </cfRule>
  </conditionalFormatting>
  <conditionalFormatting sqref="I16">
    <cfRule type="containsText" dxfId="44" priority="45" operator="containsText" text="Fail">
      <formula>NOT(ISERROR(SEARCH("Fail", I6)))</formula>
    </cfRule>
  </conditionalFormatting>
  <conditionalFormatting sqref="I16">
    <cfRule type="containsText" dxfId="45" priority="46" operator="containsText" text="Pass">
      <formula>NOT(ISERROR(SEARCH("Pass", I6)))</formula>
    </cfRule>
  </conditionalFormatting>
  <conditionalFormatting sqref="I16">
    <cfRule type="containsBlanks" dxfId="46" priority="47">
      <formula>LEN(TRIM(I5))=0</formula>
    </cfRule>
  </conditionalFormatting>
  <conditionalFormatting sqref="I16">
    <cfRule type="containsText" dxfId="47" priority="48" operator="containsText" text="N/T">
      <formula>NOT(ISERROR(SEARCH("N/T", I5)))</formula>
    </cfRule>
  </conditionalFormatting>
  <conditionalFormatting sqref="I15">
    <cfRule type="containsBlanks" dxfId="48" priority="49">
      <formula>LEN(TRIM(I4))=0</formula>
    </cfRule>
  </conditionalFormatting>
  <conditionalFormatting sqref="I15">
    <cfRule type="containsText" dxfId="49" priority="50" operator="containsText" text="Pass">
      <formula>NOT(ISERROR(SEARCH("Pass", I5)))</formula>
    </cfRule>
  </conditionalFormatting>
  <conditionalFormatting sqref="I15">
    <cfRule type="containsText" dxfId="50" priority="51" operator="containsText" text="Fail">
      <formula>NOT(ISERROR(SEARCH("Fail", I5)))</formula>
    </cfRule>
  </conditionalFormatting>
  <conditionalFormatting sqref="I15">
    <cfRule type="containsText" dxfId="51" priority="52" operator="containsText" text="Block">
      <formula>NOT(ISERROR(SEARCH("Block", I5)))</formula>
    </cfRule>
  </conditionalFormatting>
  <conditionalFormatting sqref="I15">
    <cfRule type="containsText" dxfId="52" priority="53" operator="containsText" text="N/A">
      <formula>NOT(ISERROR(SEARCH("N/A", I5)))</formula>
    </cfRule>
  </conditionalFormatting>
  <conditionalFormatting sqref="I15">
    <cfRule type="containsText" dxfId="53" priority="54" operator="containsText" text="N/T">
      <formula>NOT(ISERROR(SEARCH("N/T", I4)))</formula>
    </cfRule>
  </conditionalFormatting>
  <conditionalFormatting sqref="I14">
    <cfRule type="containsText" dxfId="54" priority="55" operator="containsText" text="N/A">
      <formula>NOT(ISERROR(SEARCH("N/A", I4)))</formula>
    </cfRule>
  </conditionalFormatting>
  <conditionalFormatting sqref="I14">
    <cfRule type="containsText" dxfId="55" priority="56" operator="containsText" text="Block">
      <formula>NOT(ISERROR(SEARCH("Block", I4)))</formula>
    </cfRule>
  </conditionalFormatting>
  <conditionalFormatting sqref="I14">
    <cfRule type="containsText" dxfId="56" priority="57" operator="containsText" text="Fail">
      <formula>NOT(ISERROR(SEARCH("Fail", I4)))</formula>
    </cfRule>
  </conditionalFormatting>
  <conditionalFormatting sqref="I14">
    <cfRule type="containsText" dxfId="57" priority="58" operator="containsText" text="Pass">
      <formula>NOT(ISERROR(SEARCH("Pass", I4)))</formula>
    </cfRule>
  </conditionalFormatting>
  <conditionalFormatting sqref="I14">
    <cfRule type="containsBlanks" dxfId="58" priority="59">
      <formula>LEN(TRIM(I3))=0</formula>
    </cfRule>
  </conditionalFormatting>
  <conditionalFormatting sqref="I14">
    <cfRule type="containsText" dxfId="59" priority="60" operator="containsText" text="N/T">
      <formula>NOT(ISERROR(SEARCH("N/T", I3)))</formula>
    </cfRule>
  </conditionalFormatting>
  <conditionalFormatting sqref="I2:I7">
    <cfRule type="containsText" dxfId="60" priority="61" operator="containsText" text="N/A">
      <formula>NOT(ISERROR(SEARCH("N/A", I-2)))</formula>
    </cfRule>
  </conditionalFormatting>
  <conditionalFormatting sqref="I2:I7">
    <cfRule type="containsText" dxfId="61" priority="62" operator="containsText" text="Block">
      <formula>NOT(ISERROR(SEARCH("Block", I-2)))</formula>
    </cfRule>
  </conditionalFormatting>
  <conditionalFormatting sqref="I2:I7">
    <cfRule type="containsText" dxfId="62" priority="63" operator="containsText" text="Fail">
      <formula>NOT(ISERROR(SEARCH("Fail", I-2)))</formula>
    </cfRule>
  </conditionalFormatting>
  <conditionalFormatting sqref="I2:I7">
    <cfRule type="containsText" dxfId="63" priority="64" operator="containsText" text="Pass">
      <formula>NOT(ISERROR(SEARCH("Pass", I-2)))</formula>
    </cfRule>
  </conditionalFormatting>
  <conditionalFormatting sqref="I2:I7">
    <cfRule type="containsBlanks" dxfId="64" priority="65">
      <formula>LEN(TRIM(I-3))=0</formula>
    </cfRule>
  </conditionalFormatting>
  <conditionalFormatting sqref="I2:I7">
    <cfRule type="containsText" dxfId="65" priority="66" operator="containsText" text="N/T">
      <formula>NOT(ISERROR(SEARCH("N/T", I-3)))</formula>
    </cfRule>
  </conditionalFormatting>
  <conditionalFormatting sqref="Q39">
    <cfRule type="containsText" dxfId="66" priority="67" operator="containsText" text="N/A">
      <formula>NOT(ISERROR(SEARCH("N/A", Q34)))</formula>
    </cfRule>
  </conditionalFormatting>
  <conditionalFormatting sqref="Q39">
    <cfRule type="containsText" dxfId="67" priority="68" operator="containsText" text="Block">
      <formula>NOT(ISERROR(SEARCH("Block", Q34)))</formula>
    </cfRule>
  </conditionalFormatting>
  <conditionalFormatting sqref="Q39">
    <cfRule type="containsText" dxfId="68" priority="69" operator="containsText" text="Fail">
      <formula>NOT(ISERROR(SEARCH("Fail", Q34)))</formula>
    </cfRule>
  </conditionalFormatting>
  <conditionalFormatting sqref="Q39">
    <cfRule type="containsText" dxfId="69" priority="70" operator="containsText" text="Pass">
      <formula>NOT(ISERROR(SEARCH("Pass", Q34)))</formula>
    </cfRule>
  </conditionalFormatting>
  <conditionalFormatting sqref="Q39">
    <cfRule type="containsBlanks" dxfId="70" priority="71">
      <formula>LEN(TRIM(Q33))=0</formula>
    </cfRule>
  </conditionalFormatting>
  <conditionalFormatting sqref="Q39">
    <cfRule type="containsText" dxfId="71" priority="72" operator="containsText" text="N/T">
      <formula>NOT(ISERROR(SEARCH("N/T", Q33)))</formula>
    </cfRule>
  </conditionalFormatting>
  <conditionalFormatting sqref="Q41:Q44">
    <cfRule type="containsText" dxfId="72" priority="73" operator="containsText" text="N/T">
      <formula>NOT(ISERROR(SEARCH("N/T", Q39)))</formula>
    </cfRule>
  </conditionalFormatting>
  <conditionalFormatting sqref="Q41:Q44">
    <cfRule type="containsText" dxfId="73" priority="74" operator="containsText" text="N/A">
      <formula>NOT(ISERROR(SEARCH("N/A", Q40)))</formula>
    </cfRule>
  </conditionalFormatting>
  <conditionalFormatting sqref="Q41:Q44">
    <cfRule type="containsText" dxfId="74" priority="75" operator="containsText" text="Block">
      <formula>NOT(ISERROR(SEARCH("Block", Q40)))</formula>
    </cfRule>
  </conditionalFormatting>
  <conditionalFormatting sqref="Q41:Q44">
    <cfRule type="containsText" dxfId="75" priority="76" operator="containsText" text="Fail">
      <formula>NOT(ISERROR(SEARCH("Fail", Q40)))</formula>
    </cfRule>
  </conditionalFormatting>
  <conditionalFormatting sqref="Q41:Q44">
    <cfRule type="containsText" dxfId="76" priority="77" operator="containsText" text="Pass">
      <formula>NOT(ISERROR(SEARCH("Pass", Q40)))</formula>
    </cfRule>
  </conditionalFormatting>
  <conditionalFormatting sqref="Q41:Q44">
    <cfRule type="containsBlanks" dxfId="77" priority="78">
      <formula>LEN(TRIM(Q39))=0</formula>
    </cfRule>
  </conditionalFormatting>
  <conditionalFormatting sqref="Q40">
    <cfRule type="containsText" dxfId="78" priority="79" operator="containsText" text="N/T">
      <formula>NOT(ISERROR(SEARCH("N/T", Q35)))</formula>
    </cfRule>
  </conditionalFormatting>
  <conditionalFormatting sqref="Q40">
    <cfRule type="containsBlanks" dxfId="79" priority="80">
      <formula>LEN(TRIM(Q35))=0</formula>
    </cfRule>
  </conditionalFormatting>
  <conditionalFormatting sqref="Q40">
    <cfRule type="containsText" dxfId="80" priority="81" operator="containsText" text="Pass">
      <formula>NOT(ISERROR(SEARCH("Pass", Q36)))</formula>
    </cfRule>
  </conditionalFormatting>
  <conditionalFormatting sqref="Q40">
    <cfRule type="containsText" dxfId="81" priority="82" operator="containsText" text="Fail">
      <formula>NOT(ISERROR(SEARCH("Fail", Q36)))</formula>
    </cfRule>
  </conditionalFormatting>
  <conditionalFormatting sqref="Q40">
    <cfRule type="containsText" dxfId="82" priority="83" operator="containsText" text="Block">
      <formula>NOT(ISERROR(SEARCH("Block", Q36)))</formula>
    </cfRule>
  </conditionalFormatting>
  <conditionalFormatting sqref="Q40">
    <cfRule type="containsText" dxfId="83" priority="84" operator="containsText" text="N/A">
      <formula>NOT(ISERROR(SEARCH("N/A", Q36)))</formula>
    </cfRule>
  </conditionalFormatting>
  <conditionalFormatting sqref="A1:G1">
    <cfRule type="containsBlanks" dxfId="84" priority="85">
      <formula>LEN(TRIM(A1))=0</formula>
    </cfRule>
  </conditionalFormatting>
  <conditionalFormatting sqref="I1 I8:I13 I33:I48">
    <cfRule type="containsBlanks" dxfId="85" priority="86">
      <formula>LEN(TRIM(I1))=0</formula>
    </cfRule>
  </conditionalFormatting>
  <conditionalFormatting sqref="J1:L1">
    <cfRule type="containsBlanks" dxfId="86" priority="87">
      <formula>LEN(TRIM(J1))=0</formula>
    </cfRule>
  </conditionalFormatting>
  <conditionalFormatting sqref="A1:G1">
    <cfRule type="containsText" dxfId="87" priority="88" operator="containsText" text="Pass">
      <formula>NOT(ISERROR(SEARCH("Pass", A1)))</formula>
    </cfRule>
  </conditionalFormatting>
  <conditionalFormatting sqref="I8:I13 I33:I48">
    <cfRule type="containsText" dxfId="88" priority="89" operator="containsText" text="Pass">
      <formula>NOT(ISERROR(SEARCH("Pass", I2)))</formula>
    </cfRule>
  </conditionalFormatting>
  <conditionalFormatting sqref="J1:L1">
    <cfRule type="containsText" dxfId="89" priority="90" operator="containsText" text="Pass">
      <formula>NOT(ISERROR(SEARCH("Pass", J1)))</formula>
    </cfRule>
  </conditionalFormatting>
  <conditionalFormatting sqref="I1">
    <cfRule type="containsText" dxfId="90" priority="91" operator="containsText" text="Pass">
      <formula>NOT(ISERROR(SEARCH("Pass", I1)))</formula>
    </cfRule>
  </conditionalFormatting>
  <conditionalFormatting sqref="A1:G1">
    <cfRule type="containsText" dxfId="91" priority="92" operator="containsText" text="Fail">
      <formula>NOT(ISERROR(SEARCH("Fail", A1)))</formula>
    </cfRule>
  </conditionalFormatting>
  <conditionalFormatting sqref="I8:I13 I33:I48">
    <cfRule type="containsText" dxfId="92" priority="93" operator="containsText" text="Fail">
      <formula>NOT(ISERROR(SEARCH("Fail", I2)))</formula>
    </cfRule>
  </conditionalFormatting>
  <conditionalFormatting sqref="J1:L1">
    <cfRule type="containsText" dxfId="93" priority="94" operator="containsText" text="Fail">
      <formula>NOT(ISERROR(SEARCH("Fail", J1)))</formula>
    </cfRule>
  </conditionalFormatting>
  <conditionalFormatting sqref="I1">
    <cfRule type="containsText" dxfId="94" priority="95" operator="containsText" text="Fail">
      <formula>NOT(ISERROR(SEARCH("Fail", I1)))</formula>
    </cfRule>
  </conditionalFormatting>
  <conditionalFormatting sqref="A1:G1">
    <cfRule type="containsText" dxfId="95" priority="96" operator="containsText" text="Block">
      <formula>NOT(ISERROR(SEARCH("Block", A1)))</formula>
    </cfRule>
  </conditionalFormatting>
  <conditionalFormatting sqref="I8:I13 I33:I48">
    <cfRule type="containsText" dxfId="96" priority="97" operator="containsText" text="Block">
      <formula>NOT(ISERROR(SEARCH("Block", I2)))</formula>
    </cfRule>
  </conditionalFormatting>
  <conditionalFormatting sqref="J1:L1">
    <cfRule type="containsText" dxfId="97" priority="98" operator="containsText" text="Block">
      <formula>NOT(ISERROR(SEARCH("Block", J1)))</formula>
    </cfRule>
  </conditionalFormatting>
  <conditionalFormatting sqref="I1">
    <cfRule type="containsText" dxfId="98" priority="99" operator="containsText" text="Block">
      <formula>NOT(ISERROR(SEARCH("Block", I1)))</formula>
    </cfRule>
  </conditionalFormatting>
  <conditionalFormatting sqref="A1:G1">
    <cfRule type="containsText" dxfId="99" priority="100" operator="containsText" text="N/A">
      <formula>NOT(ISERROR(SEARCH("N/A", A1)))</formula>
    </cfRule>
  </conditionalFormatting>
  <conditionalFormatting sqref="I8:I13 I33:I48">
    <cfRule type="containsText" dxfId="100" priority="101" operator="containsText" text="N/A">
      <formula>NOT(ISERROR(SEARCH("N/A", I2)))</formula>
    </cfRule>
  </conditionalFormatting>
  <conditionalFormatting sqref="J1:L1">
    <cfRule type="containsText" dxfId="101" priority="102" operator="containsText" text="N/A">
      <formula>NOT(ISERROR(SEARCH("N/A", J1)))</formula>
    </cfRule>
  </conditionalFormatting>
  <conditionalFormatting sqref="I1">
    <cfRule type="containsText" dxfId="102" priority="103" operator="containsText" text="N/A">
      <formula>NOT(ISERROR(SEARCH("N/A", I1)))</formula>
    </cfRule>
  </conditionalFormatting>
  <conditionalFormatting sqref="A1:G1">
    <cfRule type="containsText" dxfId="103" priority="104" operator="containsText" text="N/T">
      <formula>NOT(ISERROR(SEARCH("N/T", A1)))</formula>
    </cfRule>
  </conditionalFormatting>
  <conditionalFormatting sqref="I1 I8:I13 I33:I48">
    <cfRule type="containsText" dxfId="104" priority="105" operator="containsText" text="N/T">
      <formula>NOT(ISERROR(SEARCH("N/T", I1)))</formula>
    </cfRule>
  </conditionalFormatting>
  <conditionalFormatting sqref="J1:L1">
    <cfRule type="containsText" dxfId="105" priority="106" operator="containsText" text="N/T">
      <formula>NOT(ISERROR(SEARCH("N/T", J1)))</formula>
    </cfRule>
  </conditionalFormatting>
  <printOptions>
    <extLst>
      <ext uri="smNativeData">
        <pm:pageFlags xmlns:pm="smNativeData" id="175895392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58953923" l="56" r="56" t="56" b="56" borderId="0" fillId="0" vertical="0"/>
        <pm:footer xmlns:pm="smNativeData" id="1758953923" l="56" r="56" t="56" b="56" borderId="0" fillId="0" vertical="2"/>
        <pm:paperBin xmlns:pm="smNativeData" id="1758953923" Id="0" type="0" value="0"/>
        <pm:paperBin xmlns:pm="smNativeData" id="1758953923" Id="1" type="0" value="0"/>
      </ext>
    </extLst>
  </headerFooter>
  <legacyDrawing r:id="rId2"/>
  <extLst>
    <ext uri="smNativeData">
      <pm:sheetPrefs xmlns:pm="smNativeData" day="175895392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J7"/>
  <sheetViews>
    <sheetView view="normal" workbookViewId="0">
      <selection activeCell="D32" sqref="D32"/>
    </sheetView>
  </sheetViews>
  <sheetFormatPr baseColWidth="11" defaultColWidth="12.567568" defaultRowHeight="12.75" customHeight="1"/>
  <cols>
    <col min="1" max="1" width="23.567568" customWidth="1"/>
    <col min="2" max="2" width="6.423423" customWidth="1"/>
    <col min="3" max="3" width="15.711712" customWidth="1"/>
    <col min="4" max="9" width="8.711712" customWidth="1"/>
    <col min="10" max="10" width="9.711712" customWidth="1"/>
  </cols>
  <sheetData>
    <row r="1" spans="1:1" ht="12.75" customHeight="1">
      <c r="A1" s="9" t="s">
        <v>165</v>
      </c>
    </row>
    <row r="2" spans="1:10" ht="12.75" customHeight="1">
      <c r="A2" s="10" t="s">
        <v>166</v>
      </c>
      <c r="B2" s="10" t="s">
        <v>167</v>
      </c>
      <c r="C2" s="10" t="s">
        <v>168</v>
      </c>
      <c r="D2" s="10" t="s">
        <v>32</v>
      </c>
      <c r="E2" s="10" t="s">
        <v>85</v>
      </c>
      <c r="F2" s="10" t="s">
        <v>53</v>
      </c>
      <c r="G2" s="10" t="s">
        <v>139</v>
      </c>
      <c r="H2" s="10" t="s">
        <v>15</v>
      </c>
      <c r="I2" s="10" t="s">
        <v>169</v>
      </c>
      <c r="J2" s="10" t="s">
        <v>170</v>
      </c>
    </row>
    <row r="3" spans="1:10" ht="12.75" customHeight="1">
      <c r="A3" s="11" t="s">
        <v>12</v>
      </c>
      <c r="B3" s="12">
        <f>COUNTIF(TestCase!L:L,A3)</f>
        <v>6</v>
      </c>
      <c r="C3" s="13">
        <f>IFERROR(B3/$B$6,0)</f>
        <v>0.15</v>
      </c>
      <c r="D3" s="12">
        <f>_xlfn.COUNTIFS(TestCase!$I:$I,"*"&amp;D$2&amp;"*",TestCase!$L:$L,$A3)</f>
        <v>0</v>
      </c>
      <c r="E3" s="12">
        <f>_xlfn.COUNTIFS(TestCase!$I:$I,"*"&amp;E$2&amp;"*",TestCase!$L:$L,$A3)</f>
        <v>0</v>
      </c>
      <c r="F3" s="12">
        <f>_xlfn.COUNTIFS(TestCase!$I:$I,"*"&amp;F$2&amp;"*",TestCase!$L:$L,$A3)</f>
        <v>0</v>
      </c>
      <c r="G3" s="12">
        <f>_xlfn.COUNTIFS(TestCase!$I:$I,"*"&amp;G$2&amp;"*",TestCase!$L:$L,$A3)</f>
        <v>0</v>
      </c>
      <c r="H3" s="12">
        <f>_xlfn.COUNTIFS(TestCase!$I:$I,"*"&amp;H$2&amp;"*",TestCase!$L:$L,$A3)</f>
        <v>6</v>
      </c>
      <c r="I3" s="12">
        <f>_xlfn.COUNTIFS(TestCase!$I:$I,"*"&amp;I$2&amp;"*",TestCase!$L:$L,$A3)</f>
        <v>0</v>
      </c>
      <c r="J3" s="15">
        <f>I3/B3</f>
        <v>0</v>
      </c>
    </row>
    <row r="4" spans="1:10" ht="12.75" customHeight="1">
      <c r="A4" s="11" t="s">
        <v>26</v>
      </c>
      <c r="B4" s="12">
        <f>COUNTIF(TestCase!L:L,A4)</f>
        <v>18</v>
      </c>
      <c r="C4" s="13">
        <f>IFERROR(B4/$B$6,0)</f>
        <v>0.45</v>
      </c>
      <c r="D4" s="12">
        <f>_xlfn.COUNTIFS(TestCase!$I:$I,"*"&amp;D$2&amp;"*",TestCase!$L:$L,$A4)</f>
        <v>14</v>
      </c>
      <c r="E4" s="12">
        <f>_xlfn.COUNTIFS(TestCase!$I:$I,"*"&amp;E$2&amp;"*",TestCase!$L:$L,$A4)</f>
        <v>3</v>
      </c>
      <c r="F4" s="12">
        <f>_xlfn.COUNTIFS(TestCase!$I:$I,"*"&amp;F$2&amp;"*",TestCase!$L:$L,$A4)</f>
        <v>1</v>
      </c>
      <c r="G4" s="12">
        <f>_xlfn.COUNTIFS(TestCase!$I:$I,"*"&amp;G$2&amp;"*",TestCase!$L:$L,$A4)</f>
        <v>0</v>
      </c>
      <c r="H4" s="12">
        <f>_xlfn.COUNTIFS(TestCase!$I:$I,"*"&amp;H$2&amp;"*",TestCase!$L:$L,$A4)</f>
        <v>0</v>
      </c>
      <c r="I4" s="14">
        <f>SUM(D4:H4)</f>
        <v>18</v>
      </c>
      <c r="J4" s="15">
        <f>I4/B4</f>
        <v>1</v>
      </c>
    </row>
    <row r="5" spans="1:10" ht="12.75" customHeight="1">
      <c r="A5" s="11" t="s">
        <v>97</v>
      </c>
      <c r="B5" s="12">
        <f>COUNTIF(TestCase!L:L,A5)</f>
        <v>16</v>
      </c>
      <c r="C5" s="13">
        <f>IFERROR(B5/$B$6,0)</f>
        <v>0.4</v>
      </c>
      <c r="D5" s="12">
        <f>_xlfn.COUNTIFS(TestCase!$I:$I,"*"&amp;D$2&amp;"*",TestCase!$L:$L,$A5)</f>
        <v>0</v>
      </c>
      <c r="E5" s="12">
        <f>_xlfn.COUNTIFS(TestCase!$I:$I,"*"&amp;E$2&amp;"*",TestCase!$L:$L,$A5)</f>
        <v>0</v>
      </c>
      <c r="F5" s="12">
        <f>_xlfn.COUNTIFS(TestCase!$I:$I,"*"&amp;F$2&amp;"*",TestCase!$L:$L,$A5)</f>
        <v>0</v>
      </c>
      <c r="G5" s="12">
        <f>_xlfn.COUNTIFS(TestCase!$I:$I,"*"&amp;G$2&amp;"*",TestCase!$L:$L,$A5)</f>
        <v>0</v>
      </c>
      <c r="H5" s="12">
        <f>_xlfn.COUNTIFS(TestCase!$I:$I,"*"&amp;H$2&amp;"*",TestCase!$L:$L,$A5)</f>
        <v>0</v>
      </c>
      <c r="I5" s="14">
        <f>SUM(D5:H5)</f>
        <v>0</v>
      </c>
      <c r="J5" s="15">
        <f>I5/B5</f>
        <v>0</v>
      </c>
    </row>
    <row r="6" spans="1:10" ht="12.75" customHeight="1">
      <c r="A6" s="16" t="s">
        <v>169</v>
      </c>
      <c r="B6" s="16">
        <f>SUM(B3:B5)</f>
        <v>40</v>
      </c>
      <c r="C6" s="17">
        <f>SUM(C3:C5)</f>
        <v>1</v>
      </c>
      <c r="D6" s="14">
        <f>SUM(D3:D5)</f>
        <v>14</v>
      </c>
      <c r="E6" s="14">
        <f>SUM(E3:E5)</f>
        <v>3</v>
      </c>
      <c r="F6" s="14">
        <f>SUM(F3:F5)</f>
        <v>1</v>
      </c>
      <c r="G6" s="14">
        <f>SUM(G3:G5)</f>
        <v>0</v>
      </c>
      <c r="H6" s="14">
        <f>SUM(H3:H5)</f>
        <v>6</v>
      </c>
      <c r="I6" s="14">
        <f>SUM(I3:I5)</f>
        <v>18</v>
      </c>
      <c r="J6" s="14"/>
    </row>
    <row r="7" spans="1:10" ht="12.75" customHeight="1">
      <c r="A7" s="16" t="s">
        <v>170</v>
      </c>
      <c r="B7" s="16"/>
      <c r="C7" s="16"/>
      <c r="D7" s="15">
        <f>D6/$B6</f>
        <v>0.35</v>
      </c>
      <c r="E7" s="15">
        <f>E6/$B6</f>
        <v>0.075</v>
      </c>
      <c r="F7" s="15">
        <f>F6/$B6</f>
        <v>0.025</v>
      </c>
      <c r="G7" s="15">
        <f>G6/$B6</f>
        <v>0</v>
      </c>
      <c r="H7" s="15">
        <f>H6/$B6</f>
        <v>0.15</v>
      </c>
      <c r="I7" s="15">
        <f>I6/$B6</f>
        <v>0.45</v>
      </c>
      <c r="J7" s="14"/>
    </row>
  </sheetData>
  <printOptions>
    <extLst>
      <ext uri="smNativeData">
        <pm:pageFlags xmlns:pm="smNativeData" id="175895392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58953923" l="56" r="56" t="56" b="56" borderId="0" fillId="0" vertical="0"/>
        <pm:footer xmlns:pm="smNativeData" id="1758953923" l="56" r="56" t="56" b="56" borderId="0" fillId="0" vertical="2"/>
        <pm:paperBin xmlns:pm="smNativeData" id="1758953923" Id="0" type="0" value="0"/>
        <pm:paperBin xmlns:pm="smNativeData" id="1758953923" Id="1" type="0" value="0"/>
      </ext>
    </extLst>
  </headerFooter>
  <extLst>
    <ext uri="smNativeData">
      <pm:sheetPrefs xmlns:pm="smNativeData" day="175895392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허준</dc:creator>
  <cp:keywords/>
  <dc:description/>
  <cp:lastModifiedBy>autoa</cp:lastModifiedBy>
  <cp:revision>0</cp:revision>
  <dcterms:created xsi:type="dcterms:W3CDTF">2025-09-15T15:28:01Z</dcterms:created>
  <dcterms:modified xsi:type="dcterms:W3CDTF">2025-09-27T06:18:43Z</dcterms:modified>
</cp:coreProperties>
</file>