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4254411" val="1228" rev="124" revOS="4" revMin="124" revMax="0"/>
      <pm:docPrefs xmlns:pm="smNativeData" id="1764254411" fixedDigits="0" showNotice="1" showFrameBounds="1" autoChart="1" recalcOnPrint="1" recalcOnCopy="1" finalRounding="1" compatTextArt="1" tab="567" useDefinedPrintRange="1" printArea="currentSheet"/>
      <pm:compatibility xmlns:pm="smNativeData" id="1764254411" overlapCells="1"/>
      <pm:defCurrency xmlns:pm="smNativeData" id="1764254411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<sst xmlns="http://schemas.openxmlformats.org/spreadsheetml/2006/main" count="468" uniqueCount="340">
  <si>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</si>
  <si>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</si>
  <si>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</si>
  <si>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</si>
  <si>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</si>
  <si>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</si>
  <si>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</si>
  <si>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</si>
  <si>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</si>
  <si>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</si>
  <si>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</si>
  <si>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</si>
  <si>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</si>
  <si>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</si>
  <si>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</si>
  <si>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</si>
  <si>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</si>
  <si>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</si>
  <si>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</si>
  <si>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</si>
  <si>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</si>
  <si>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</si>
  <si>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</si>
  <si>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</si>
  <si>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</si>
  <si>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</si>
  <si>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</si>
  <si>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</si>
  <si>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</si>
  <si>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</si>
  <si>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</si>
  <si>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"Story Start"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</si>
  <si>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</si>
  <si>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</si>
  <si>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</si>
  <si>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</si>
  <si>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</si>
  <si>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</si>
  <si>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</si>
  <si>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</si>
  <si>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</si>
  <si>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</si>
  <si>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</si>
  <si>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 xml:space="preserve"> 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</si>
  <si>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</si>
  <si>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</si>
  <si>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</si>
  <si>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</si>
  <si>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</si>
  <si>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</si>
  <si>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</si>
  <si>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</si>
  <si>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</si>
  <si>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</si>
  <si>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</si>
  <si>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</si>
  <si>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>오프닝 시퀀스</t>
  </si>
  <si>
    <t>배경 이미지 출력</t>
  </si>
  <si>
    <t>플레이어가 Story Start 씬에 진입했을 시</t>
  </si>
  <si>
    <t>사진 프레임 뒤에 슬라이드쇼 형식으로
이미지 출력</t>
  </si>
  <si>
    <t>스토리 설명 문단 출력</t>
  </si>
  <si>
    <t>"</t>
  </si>
  <si>
    <t>페이드 인 형식으로 스토리 내용이
출력</t>
  </si>
  <si>
    <t>나레이션 대사 출력</t>
  </si>
  <si>
    <t>스토리 설명하는 문단이 하나씩 뜰때</t>
  </si>
  <si>
    <t>해당 문단에 맞는 나레이션 오디오 출력</t>
  </si>
  <si>
    <t>스킵 시스템 버튼</t>
  </si>
  <si>
    <t>오프닝 스토리 씬 진행중 우측 상단의 "스킵하기" 버튼을 클릭</t>
  </si>
  <si>
    <t>문단과 오디오, 배경 스퉌스 전부 스킵</t>
  </si>
  <si>
    <t>거처이동 버튼</t>
  </si>
  <si>
    <t>1. 스토리 시퀀스 종료
2. 우측 하단의 "거처이동" 버튼을 클릭</t>
  </si>
  <si>
    <t>Home 씬으로 이동</t>
  </si>
  <si>
    <t>튜토리얼 UI</t>
  </si>
  <si>
    <t>설명창</t>
  </si>
  <si>
    <t>Home 진입시 즉시</t>
  </si>
  <si>
    <t>설명창을 페이드인으로 출력</t>
  </si>
  <si>
    <t>게임의 주 요소를 이미지를 표시</t>
  </si>
  <si>
    <t>다음 키 버튼</t>
  </si>
  <si>
    <t>매 설명창 마다 표기</t>
  </si>
  <si>
    <t>우측 중단의 다음 버튼을 클릭</t>
  </si>
  <si>
    <t>다른 튜토리얼 창으로 이동</t>
  </si>
  <si>
    <t>인게임 설명창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</si>
  <si>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</si>
  <si>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</si>
  <si>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</si>
  <si>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</si>
  <si>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</si>
  <si>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</si>
  <si>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설명 UI 대사창 출력</t>
  </si>
  <si>
    <t>퀘스트 대화창 다음 버튼</t>
  </si>
  <si>
    <t>대화창 출력 도중 다음 버튼을 마우스로 상호작용</t>
  </si>
  <si>
    <t>대화 도중시에 클릭시 스킵,
전부 출력된 상대에서는 다음 대사 이동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</si>
  <si>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</si>
  <si>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</si>
  <si>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</si>
  <si>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</si>
  <si>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</si>
  <si>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</si>
  <si>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</si>
  <si>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</si>
  <si>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</si>
  <si>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</si>
  <si>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</si>
  <si>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</si>
  <si>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</si>
  <si>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</si>
  <si>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</si>
  <si>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</si>
  <si>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  UI</t>
  </si>
  <si>
    <t>상호작용 오브젝트 외각선</t>
  </si>
  <si>
    <t>시점조정을 통해 상호작용이 가능한 오브젝트를 조준했을 경우</t>
  </si>
  <si>
    <t>해당 오브젝트에 외각선 표시</t>
  </si>
  <si>
    <t xml:space="preserve">UI </t>
  </si>
  <si>
    <t>자세 상태 UI</t>
  </si>
  <si>
    <t>앉거나 엎드리거나 서 있을때</t>
  </si>
  <si>
    <t>캐릭터의 현 자세 상태에 따라서
이미지를 우측 하단에 출력</t>
  </si>
  <si>
    <t>미니맵 UI</t>
  </si>
  <si>
    <t>아이콘 위치 반영</t>
  </si>
  <si>
    <t>주인공 혹은 적군 NPC가 맵에서 이동시</t>
  </si>
  <si>
    <t>캐릭터, 적의 아이콘의 위치 변경</t>
  </si>
  <si>
    <t>Fail</t>
  </si>
  <si>
    <t>아직 구현되있지 않음</t>
  </si>
  <si>
    <t>미션 현재상태 출력</t>
  </si>
  <si>
    <t>퍼즐을 진행 후 열쇠 조각을 모았을 시</t>
  </si>
  <si>
    <t>UI로 모은 열쇠조각이나 진행해야하는 미션을 출력함</t>
  </si>
  <si>
    <t>미션 실패시</t>
  </si>
  <si>
    <t>퀘스트 실패 UI 출력</t>
  </si>
  <si>
    <t>적 NPC에게 제압을 당해 미션 수행이 불가해질시</t>
  </si>
  <si>
    <t>게임 오버 UI 출력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</si>
  <si>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</si>
  <si>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</si>
  <si>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</si>
  <si>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</si>
  <si>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</si>
  <si>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</si>
  <si>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</si>
  <si>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</si>
  <si>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 xml:space="preserve">미션 성공 UI가 출력될 시 Home 버튼을 선택 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</si>
  <si>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</si>
  <si>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</si>
  <si>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</si>
  <si>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</si>
  <si>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</si>
  <si>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</si>
  <si>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</si>
  <si>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</si>
  <si>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t>오르기 동작</t>
  </si>
  <si>
    <t>오를 수 있는 구간에서만</t>
  </si>
  <si>
    <t>오를 수 있는 구간에서 Space 를 누른다</t>
  </si>
  <si>
    <t>캐릭터가 오르는 동작을 취하며 플랫폼을 올라간다</t>
  </si>
  <si>
    <t>Pass: 테스트 성공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</si>
  <si>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</si>
  <si>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</si>
  <si>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</si>
  <si>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</si>
  <si>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Fail: 테스트 실패</t>
  </si>
  <si>
    <t>뛰기 기능 조작</t>
  </si>
  <si>
    <t>기본 Shift키를 눌러 뛰기 상태 전환</t>
  </si>
  <si>
    <t>뛰기 상태가 토글방식으로 변경</t>
  </si>
  <si>
    <t>Blcok: 상위테스트의 실패 등에 의해 테스트 실행할 수 없음</t>
  </si>
  <si>
    <t>Block</t>
  </si>
  <si>
    <t>앉아 걷기 조작</t>
  </si>
  <si>
    <t>앉기 상태일때</t>
  </si>
  <si>
    <t>기본 W,A,S,D로 캐릭터 이동</t>
  </si>
  <si>
    <t>기존 걷기와는 느린 속도로 이동</t>
  </si>
  <si>
    <t>N/A: 환경등의 이유로 테스트 실행 불가능</t>
  </si>
  <si>
    <t>엎드리기 기능 조작</t>
  </si>
  <si>
    <t>기본 Z를 눌러 엎드리기 상태 전환</t>
  </si>
  <si>
    <t>엎드리기 상태가 토글방식으로 변경</t>
  </si>
  <si>
    <t>N/T: 테스트 실행되지 않음</t>
  </si>
  <si>
    <t>엎드려서 이동 조작</t>
  </si>
  <si>
    <t>엎드리기 상태일때</t>
  </si>
  <si>
    <t>가장 느린 속도로 이동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</si>
  <si>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</si>
  <si>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</si>
  <si>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</si>
  <si>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</si>
  <si>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</si>
  <si>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인게임기능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</si>
  <si>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</si>
  <si>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</si>
  <si>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</si>
  <si>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</si>
  <si>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</si>
  <si>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</si>
  <si>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</si>
  <si>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</si>
  <si>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</si>
  <si>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</si>
  <si>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</si>
  <si>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</si>
  <si>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</si>
  <si>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</si>
  <si>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</si>
  <si>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</si>
  <si>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</si>
  <si>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</si>
  <si>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</si>
  <si>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</si>
  <si>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</si>
  <si>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퀘스트 성공</t>
  </si>
  <si>
    <t>목표를 처리 해 미션 성공</t>
  </si>
  <si>
    <t>조작이 더 이상 불가,
미션 성공 UI 출력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</si>
  <si>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</si>
  <si>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</si>
  <si>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</si>
  <si>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</si>
  <si>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해당 무기가 선택되며 손에 쥐여짐</t>
  </si>
  <si>
    <t>퍼즐 시스템
(PuzzleTest 기준)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</si>
  <si>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</si>
  <si>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</si>
  <si>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</si>
  <si>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</si>
  <si>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 xml:space="preserve">아이템 인벤토리 </t>
  </si>
  <si>
    <t>Dining 용 테이블 오브젝트에 상호작용키 (e)</t>
  </si>
  <si>
    <t>인벤토리 UI를 출력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</si>
  <si>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</si>
  <si>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</si>
  <si>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</si>
  <si>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</si>
  <si>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</si>
  <si>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</si>
  <si>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</si>
  <si>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</si>
  <si>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퍼즐 클리어</t>
  </si>
  <si>
    <t>아이템 (식기 등) 을 패턴에 맞게 설치</t>
  </si>
  <si>
    <t>클리어 사운드가 재생되며 클리어 상태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</si>
  <si>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</si>
  <si>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</si>
  <si>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</si>
  <si>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</si>
  <si>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</si>
  <si>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</si>
  <si>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</si>
  <si>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</si>
  <si>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퍼즐 성공</t>
  </si>
  <si>
    <t>퍼즐을 성공했을 시</t>
  </si>
  <si>
    <t>파이프를 제대로 정렬하고 물 스위치를 눌렀을 시</t>
  </si>
  <si>
    <t>성공 사운드가 재생되고 열쇠가 드랍되며 클리어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</si>
  <si>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</si>
  <si>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</si>
  <si>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</si>
  <si>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</si>
  <si>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</si>
  <si>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</si>
  <si>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</si>
  <si>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촛불 불 붙이기</t>
  </si>
  <si>
    <t>라이터를 주웠을시</t>
  </si>
  <si>
    <t xml:space="preserve">촛불에 가까이 접근해 상호작용 키 (E)  </t>
  </si>
  <si>
    <t>촛불에 불이 붙여지는 상태가 된다</t>
  </si>
  <si>
    <t>촛불 퍼즐 성공</t>
  </si>
  <si>
    <t xml:space="preserve">촛불의 순서를 제대로 켰을 시 </t>
  </si>
  <si>
    <t>성공 사운드가 재생되며 비밀 아이템</t>
  </si>
  <si>
    <t>Study 퍼즐</t>
  </si>
  <si>
    <t>책 수집</t>
  </si>
  <si>
    <t>1.책장에 가까이 접근해 상호작용키로 메뉴 접근
2. 마우스 키로 원하는 책 오브젝트를 클릭</t>
  </si>
  <si>
    <t>책이 인벤토리에 추가됨</t>
  </si>
  <si>
    <t>책 슬롯에 책 배치</t>
  </si>
  <si>
    <t>책을 수집했을시</t>
  </si>
  <si>
    <t>1.책장 슬롯에 가까이 접근해 상호작용키로 메뉴 접근
2. 마우스 키로 인벤토리의 책을 선택해 원하는 위 치에 배치</t>
  </si>
  <si>
    <t>책이 좌측부터 순서대로 배치됨</t>
  </si>
  <si>
    <t>현 빌드에서 버그가 발생에 인벤토리 가 고장</t>
  </si>
  <si>
    <t>메뉴 나가기</t>
  </si>
  <si>
    <t>책 퍼즐 매뉴 진입시</t>
  </si>
  <si>
    <t>ESC키를 눌러 메뉴를 나가기 시도</t>
  </si>
  <si>
    <t>퍼즐 매뉴에서 나가진다</t>
  </si>
  <si>
    <t>퍼즐 성공 ( 클리어 루트)</t>
  </si>
  <si>
    <t>정석패턴</t>
  </si>
  <si>
    <t>정석인 패턴으로 슬롯에 책을 배치함</t>
  </si>
  <si>
    <t>퍼즐이 클리어 상태가 됨</t>
  </si>
  <si>
    <t>퍼즐 성공 ( 비밀통로 루트)</t>
  </si>
  <si>
    <t>숨겨진 패턴으로 책을
슬롯에 배치</t>
  </si>
  <si>
    <t>숨겨진 패턴으로 책을 슬롯에 배치함</t>
  </si>
  <si>
    <t>퍼즐이 클리어 상태가 되며 통로가 열림</t>
  </si>
  <si>
    <t>Dress/Guest 
퍼즐</t>
  </si>
  <si>
    <t>다이얼 매뉴 진입</t>
  </si>
  <si>
    <t>다이얼 오브젝트에 접근 후 상호작용키 (E)</t>
  </si>
  <si>
    <t>다이얼 메뉴 진입</t>
  </si>
  <si>
    <t>다이얼 비밀번호 입력</t>
  </si>
  <si>
    <t>다이얼 매뉴 진입시</t>
  </si>
  <si>
    <t>숫자 구간을 마우스로 클릭</t>
  </si>
  <si>
    <t>숫자가 0에서 9까지 변경됨</t>
  </si>
  <si>
    <t xml:space="preserve">비밀번호 오답 </t>
  </si>
  <si>
    <t>비밀번호를 잘못 적었을 시</t>
  </si>
  <si>
    <t>오답을 알려주는 사운드가 재생</t>
  </si>
  <si>
    <t>비밀번호 정답</t>
  </si>
  <si>
    <t>비밀번호를 제대로 적었을 시</t>
  </si>
  <si>
    <t>정답을 알려주는 사운드 재생 후 클리어 상태가 됨</t>
  </si>
  <si>
    <t>클리어 사운드가 나오긴 하나 이후의 이벤트가 나오지 않음
추가로 다른 상자들의 퍼즐이 프리징 상태가 걸림</t>
  </si>
  <si>
    <t>별관 내부
맵 시스템</t>
  </si>
  <si>
    <t>맵 상호작용</t>
  </si>
  <si>
    <t>하수구 진입</t>
  </si>
  <si>
    <t>하수구에 집근 후 상호작용키 (E)</t>
  </si>
  <si>
    <t>하수구의 위치를 기준으로 장소(씬) 이동</t>
  </si>
  <si>
    <t>문 열기 / 닫기</t>
  </si>
  <si>
    <t>방문에 집근 후 상호작용키 (E)</t>
  </si>
  <si>
    <t>방문이 90도 방향으로 회전하며 오픈</t>
  </si>
  <si>
    <t>적군 NPC 문열기 / 닫기</t>
  </si>
  <si>
    <t xml:space="preserve">적군 NPC가 플레이어를 잡기 위해 문에 접근 </t>
  </si>
  <si>
    <t>Drawing 하수구 비밀통로 개방</t>
  </si>
  <si>
    <t>라이터를 확보시</t>
  </si>
  <si>
    <t xml:space="preserve">방에 있는 환풍구에서 3초 이상동안 상호작용키 </t>
  </si>
  <si>
    <t>환풍구의 문이 열리며 비밀통로 오픈</t>
  </si>
  <si>
    <t>맵 변형</t>
  </si>
  <si>
    <t>dining 퍼즐 비밀루트 변형</t>
  </si>
  <si>
    <t>dining 퍼즐 전용</t>
  </si>
  <si>
    <t>dining 퍼즐이 클리어 상태가 될 시</t>
  </si>
  <si>
    <t>책상 위에 진행을 위한 아이템 생성</t>
  </si>
  <si>
    <t>Study 퍼즐 비밀루트 변형</t>
  </si>
  <si>
    <t>Study 퍼즐 전용</t>
  </si>
  <si>
    <t>Study 퍼즐이 클리어 상태가 될 시</t>
  </si>
  <si>
    <t>서재 내에 비밀루트(책장)이 열리는 연출 재생</t>
  </si>
  <si>
    <t>Laundry 퍼즐 비밀루트 변형</t>
  </si>
  <si>
    <t>Laundry 퍼즐 전용</t>
  </si>
  <si>
    <t>Laundry 퍼즐이 클리어 상태가 될 시</t>
  </si>
  <si>
    <t>하수구 하단에 진행을 위한 아이템이 생성</t>
  </si>
  <si>
    <t>디버그 모드</t>
  </si>
  <si>
    <t>쉐도우
(노클립) 모드</t>
  </si>
  <si>
    <t>기능 토글</t>
  </si>
  <si>
    <t>F1키로 기능 키기</t>
  </si>
  <si>
    <t>노클립이 켜지게 된다</t>
  </si>
  <si>
    <t>이동</t>
  </si>
  <si>
    <t>기능 토글 On</t>
  </si>
  <si>
    <t>WASD키로 이동</t>
  </si>
  <si>
    <t>X/Z축으로 이동</t>
  </si>
  <si>
    <t>방향조준</t>
  </si>
  <si>
    <t>마우스로 시점 조점</t>
  </si>
  <si>
    <t>이동시의 시점이 정해짐</t>
  </si>
  <si>
    <t>Y축 상승</t>
  </si>
  <si>
    <t>Space 키로 조작</t>
  </si>
  <si>
    <t>Y축으로 상승</t>
  </si>
  <si>
    <t>Y축 하강</t>
  </si>
  <si>
    <t>Ctrl 키로 조작</t>
  </si>
  <si>
    <t>Y축으로 하강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</si>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</sst>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4254411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4254411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4254411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4254411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4254411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4254411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4254411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4254411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4254411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4254411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4254411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4254411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4254411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4254411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4254411" type="1" fgLvl="100" fgClr="00FFFFFF" bgLvl="100" bgClr="00000000"/>
          </ext>
        </extLst>
      </patternFill>
    </fill>
  </fills>
  <borders count="24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4254411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4254411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4254411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4411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441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4411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254411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4411">
            <pm:line position="top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254411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254411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6" fillId="0" borderId="10" xfId="0" applyFont="1" applyBorder="1" applyAlignment="1">
      <alignment wrapText="1"/>
    </xf>
    <xf numFmtId="0" fontId="6" fillId="0" borderId="12" xfId="0" applyFont="1" applyBorder="1"/>
    <xf numFmtId="0" fontId="0" fillId="0" borderId="13" xfId="0" applyBorder="1"/>
    <xf numFmtId="0" fontId="6" fillId="0" borderId="13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6" fillId="0" borderId="13" xfId="0" applyFont="1" applyBorder="1"/>
    <xf numFmtId="0" fontId="6" fillId="0" borderId="10" xfId="0" applyFont="1" applyBorder="1"/>
    <xf numFmtId="0" fontId="2" fillId="0" borderId="14" xfId="0" applyFont="1" applyBorder="1" applyAlignment="1">
      <alignment horizontal="center" vertical="center" wrapText="1"/>
    </xf>
    <xf numFmtId="0" fontId="6" fillId="0" borderId="0" xfId="0" applyFont="1"/>
    <xf numFmtId="0" fontId="7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6" fillId="0" borderId="16" xfId="0" applyFont="1" applyBorder="1"/>
    <xf numFmtId="0" fontId="2" fillId="0" borderId="1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0" xfId="0" applyBorder="1"/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wrapText="1"/>
    </xf>
    <xf numFmtId="0" fontId="6" fillId="0" borderId="14" xfId="0" applyFont="1" applyBorder="1"/>
    <xf numFmtId="0" fontId="6" fillId="0" borderId="0" xfId="0" applyFont="1" applyAlignment="1">
      <alignment wrapText="1"/>
    </xf>
    <xf numFmtId="0" fontId="2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5" xfId="0" applyBorder="1"/>
    <xf numFmtId="0" fontId="0" fillId="0" borderId="3" xfId="0" applyBorder="1"/>
    <xf numFmtId="0" fontId="0" fillId="0" borderId="3" xfId="0" applyBorder="1" applyAlignment="1">
      <alignment wrapText="1"/>
    </xf>
    <xf numFmtId="0" fontId="6" fillId="0" borderId="18" xfId="0" applyFont="1" applyBorder="1"/>
    <xf numFmtId="0" fontId="0" fillId="0" borderId="9" xfId="0" applyBorder="1"/>
    <xf numFmtId="0" fontId="6" fillId="0" borderId="15" xfId="0" applyFont="1" applyBorder="1"/>
    <xf numFmtId="0" fontId="6" fillId="0" borderId="12" xfId="0" applyFont="1" applyBorder="1" applyAlignment="1">
      <alignment horizontal="center" vertical="center"/>
    </xf>
    <xf numFmtId="0" fontId="0" fillId="0" borderId="16" xfId="0" applyBorder="1"/>
    <xf numFmtId="0" fontId="6" fillId="0" borderId="16" xfId="0" applyFont="1" applyBorder="1" applyAlignment="1">
      <alignment horizontal="center" vertical="center"/>
    </xf>
    <xf numFmtId="0" fontId="0" fillId="0" borderId="17" xfId="0" applyBorder="1"/>
    <xf numFmtId="0" fontId="0" fillId="0" borderId="19" xfId="0" applyBorder="1"/>
    <xf numFmtId="0" fontId="6" fillId="0" borderId="9" xfId="0" applyFont="1" applyBorder="1"/>
    <xf numFmtId="0" fontId="6" fillId="0" borderId="20" xfId="0" applyFont="1" applyBorder="1"/>
    <xf numFmtId="0" fontId="0" fillId="0" borderId="14" xfId="0" applyBorder="1"/>
    <xf numFmtId="0" fontId="2" fillId="0" borderId="9" xfId="0" applyFont="1" applyBorder="1" applyAlignment="1">
      <alignment horizontal="left" wrapText="1"/>
    </xf>
    <xf numFmtId="0" fontId="6" fillId="0" borderId="16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left" wrapText="1"/>
    </xf>
    <xf numFmtId="0" fontId="0" fillId="0" borderId="21" xfId="0" applyBorder="1"/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0" fillId="0" borderId="17" xfId="0" applyBorder="1" applyAlignment="1">
      <alignment horizontal="center" vertical="center" wrapText="1"/>
    </xf>
    <xf numFmtId="0" fontId="6" fillId="0" borderId="21" xfId="0" applyFont="1" applyBorder="1"/>
    <xf numFmtId="0" fontId="6" fillId="0" borderId="9" xfId="0" applyFont="1" applyBorder="1" applyAlignment="1">
      <alignment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left"/>
    </xf>
    <xf numFmtId="0" fontId="6" fillId="0" borderId="22" xfId="0" applyFont="1" applyBorder="1"/>
    <xf numFmtId="0" fontId="0" fillId="0" borderId="22" xfId="0" applyBorder="1"/>
    <xf numFmtId="0" fontId="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6" fillId="0" borderId="3" xfId="0" applyFont="1" applyBorder="1"/>
    <xf numFmtId="0" fontId="2" fillId="0" borderId="9" xfId="0" applyFont="1" applyBorder="1" applyAlignment="1">
      <alignment horizontal="left" vertical="center" wrapText="1"/>
    </xf>
    <xf numFmtId="0" fontId="6" fillId="0" borderId="22" xfId="0" applyFont="1" applyBorder="1"/>
    <xf numFmtId="0" fontId="6" fillId="0" borderId="9" xfId="0" applyFont="1" applyBorder="1" applyAlignment="1">
      <alignment wrapText="1"/>
    </xf>
    <xf numFmtId="0" fontId="0" fillId="0" borderId="22" xfId="0" applyBorder="1"/>
    <xf numFmtId="0" fontId="6" fillId="0" borderId="9" xfId="0" applyFont="1" applyBorder="1" applyAlignment="1">
      <alignment wrapText="1"/>
    </xf>
    <xf numFmtId="0" fontId="6" fillId="0" borderId="22" xfId="0" applyFont="1" applyBorder="1"/>
    <xf numFmtId="0" fontId="6" fillId="0" borderId="9" xfId="0" applyFont="1" applyBorder="1"/>
    <xf numFmtId="0" fontId="6" fillId="0" borderId="22" xfId="0" applyFont="1" applyBorder="1"/>
    <xf numFmtId="0" fontId="2" fillId="0" borderId="10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wrapText="1"/>
    </xf>
    <xf numFmtId="0" fontId="0" fillId="0" borderId="14" xfId="0" applyBorder="1"/>
    <xf numFmtId="0" fontId="6" fillId="0" borderId="9" xfId="0" applyFont="1" applyBorder="1"/>
    <xf numFmtId="0" fontId="6" fillId="0" borderId="14" xfId="0" applyFont="1" applyBorder="1" applyAlignment="1">
      <alignment wrapText="1"/>
    </xf>
    <xf numFmtId="0" fontId="6" fillId="0" borderId="21" xfId="0" applyFont="1" applyBorder="1"/>
    <xf numFmtId="0" fontId="6" fillId="0" borderId="17" xfId="0" applyFont="1" applyBorder="1"/>
    <xf numFmtId="0" fontId="6" fillId="0" borderId="21" xfId="0" applyFont="1" applyBorder="1"/>
    <xf numFmtId="0" fontId="6" fillId="0" borderId="20" xfId="0" applyFont="1" applyBorder="1"/>
    <xf numFmtId="0" fontId="0" fillId="0" borderId="11" xfId="0" applyBorder="1"/>
    <xf numFmtId="0" fontId="0" fillId="0" borderId="10" xfId="0" applyBorder="1"/>
    <xf numFmtId="0" fontId="2" fillId="0" borderId="10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8" xfId="0" applyBorder="1"/>
    <xf numFmtId="0" fontId="0" fillId="0" borderId="17" xfId="0" applyBorder="1" applyAlignment="1">
      <alignment horizontal="center" wrapText="1"/>
    </xf>
    <xf numFmtId="0" fontId="6" fillId="0" borderId="17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5" xfId="0" applyBorder="1" applyAlignment="1">
      <alignment horizontal="center" vertical="center" wrapText="1"/>
    </xf>
    <xf numFmtId="0" fontId="6" fillId="0" borderId="10" xfId="0" applyFont="1" applyBorder="1"/>
    <xf numFmtId="0" fontId="6" fillId="0" borderId="18" xfId="0" applyFont="1" applyBorder="1"/>
    <xf numFmtId="0" fontId="0" fillId="0" borderId="3" xfId="0" applyBorder="1"/>
    <xf numFmtId="0" fontId="6" fillId="0" borderId="13" xfId="0" applyFont="1" applyBorder="1"/>
    <xf numFmtId="0" fontId="6" fillId="0" borderId="20" xfId="0" applyFont="1" applyBorder="1"/>
    <xf numFmtId="0" fontId="6" fillId="0" borderId="10" xfId="0" applyFont="1" applyBorder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3" xfId="0" applyBorder="1" applyAlignment="1">
      <alignment vertical="center"/>
    </xf>
    <xf numFmtId="0" fontId="6" fillId="0" borderId="0" xfId="0" applyFont="1"/>
    <xf numFmtId="0" fontId="6" fillId="0" borderId="12" xfId="0" applyFont="1" applyBorder="1"/>
    <xf numFmtId="0" fontId="0" fillId="0" borderId="12" xfId="0" applyBorder="1"/>
    <xf numFmtId="0" fontId="6" fillId="0" borderId="13" xfId="0" applyFont="1" applyBorder="1" applyAlignment="1">
      <alignment wrapText="1"/>
    </xf>
    <xf numFmtId="0" fontId="0" fillId="0" borderId="10" xfId="0" applyBorder="1"/>
    <xf numFmtId="0" fontId="6" fillId="0" borderId="10" xfId="0" applyFont="1" applyBorder="1"/>
    <xf numFmtId="0" fontId="6" fillId="0" borderId="13" xfId="0" applyFont="1" applyBorder="1"/>
    <xf numFmtId="0" fontId="6" fillId="0" borderId="12" xfId="0" applyFont="1" applyBorder="1"/>
    <xf numFmtId="0" fontId="0" fillId="0" borderId="11" xfId="0" applyBorder="1"/>
    <xf numFmtId="0" fontId="0" fillId="0" borderId="10" xfId="0" applyBorder="1"/>
    <xf numFmtId="0" fontId="6" fillId="0" borderId="15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0" fillId="0" borderId="13" xfId="0" applyBorder="1"/>
  </cellXfs>
  <cellStyles count="1">
    <cellStyle name="Normal" xfId="0" builtinId="0" customBuiltin="1"/>
  </cellStyles>
  <dxfs count="526"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254411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4254411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4254411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254411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254411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4254411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254411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4254411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4254411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254411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254411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4254411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254411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254411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254411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4254411" count="1">
        <pm:charStyle name="보통" fontId="0" Id="1"/>
      </pm:charStyles>
      <pm:colors xmlns:pm="smNativeData" id="1764254411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101"/>
  <sheetViews>
    <sheetView tabSelected="1" view="normal" topLeftCell="C1" zoomScale="90" workbookViewId="0">
      <pane ySplit="1" topLeftCell="A11" activePane="bottomLeft" state="frozen"/>
      <selection pane="bottomLeft" activeCell="M43" sqref="M43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20"/>
      <c r="C7" s="20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0">
        <f>ROW()-2</f>
        <v>6</v>
      </c>
      <c r="B8" s="105" t="s">
        <v>26</v>
      </c>
      <c r="C8" s="18" t="s">
        <v>27</v>
      </c>
      <c r="D8" s="37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0">
        <f>ROW()-2</f>
        <v>7</v>
      </c>
      <c r="B9" s="106"/>
      <c r="C9" s="20"/>
      <c r="D9" s="37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0">
        <f>ROW()-2</f>
        <v>8</v>
      </c>
      <c r="B10" s="106"/>
      <c r="C10" s="20"/>
      <c r="D10" s="37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0">
        <f>ROW()-2</f>
        <v>9</v>
      </c>
      <c r="B11" s="106"/>
      <c r="C11" s="20"/>
      <c r="D11" s="37" t="s">
        <v>41</v>
      </c>
      <c r="E11" s="7" t="s">
        <v>42</v>
      </c>
      <c r="F11" s="8" t="s">
        <v>43</v>
      </c>
      <c r="G11" s="8" t="s">
        <v>44</v>
      </c>
      <c r="H11" s="8" t="s">
        <v>45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0">
        <f>ROW()-2</f>
        <v>10</v>
      </c>
      <c r="B12" s="106"/>
      <c r="C12" s="20"/>
      <c r="D12" s="46" t="s">
        <v>46</v>
      </c>
      <c r="E12" s="7" t="s">
        <v>47</v>
      </c>
      <c r="F12" s="8"/>
      <c r="G12" s="8" t="s">
        <v>48</v>
      </c>
      <c r="H12" s="8" t="s">
        <v>49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0">
        <f>ROW()-2</f>
        <v>11</v>
      </c>
      <c r="B13" s="106"/>
      <c r="C13" s="20"/>
      <c r="D13" s="109" t="s">
        <v>50</v>
      </c>
      <c r="E13" s="84" t="s">
        <v>51</v>
      </c>
      <c r="F13" s="63"/>
      <c r="G13" s="63" t="s">
        <v>52</v>
      </c>
      <c r="H13" s="63" t="s">
        <v>53</v>
      </c>
      <c r="I13" s="3" t="s">
        <v>54</v>
      </c>
      <c r="J13" s="8" t="s">
        <v>55</v>
      </c>
      <c r="K13" s="8"/>
      <c r="L13" s="6" t="str">
        <f>IF(B13="",L12,B13)</f>
        <v>메뉴기능</v>
      </c>
    </row>
    <row r="14" spans="1:12" ht="12.75" customHeight="1">
      <c r="A14" s="30">
        <f>ROW()-2</f>
        <v>12</v>
      </c>
      <c r="B14" s="106"/>
      <c r="C14" s="20"/>
      <c r="D14" s="110" t="s">
        <v>56</v>
      </c>
      <c r="E14" s="97" t="s">
        <v>57</v>
      </c>
      <c r="F14" s="62"/>
      <c r="G14" s="85" t="s">
        <v>58</v>
      </c>
      <c r="H14" s="86" t="s">
        <v>59</v>
      </c>
      <c r="I14" s="37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0">
        <f>ROW()-2</f>
        <v>13</v>
      </c>
      <c r="B15" s="106"/>
      <c r="C15" s="20"/>
      <c r="D15" s="111"/>
      <c r="E15" s="98" t="s">
        <v>60</v>
      </c>
      <c r="F15" s="62"/>
      <c r="G15" s="87" t="s">
        <v>61</v>
      </c>
      <c r="H15" s="88" t="s">
        <v>62</v>
      </c>
      <c r="I15" s="37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0">
        <f>ROW()-2</f>
        <v>14</v>
      </c>
      <c r="B16" s="106"/>
      <c r="C16" s="20"/>
      <c r="D16" s="111"/>
      <c r="E16" s="98" t="s">
        <v>63</v>
      </c>
      <c r="F16" s="69"/>
      <c r="G16" s="89" t="s">
        <v>64</v>
      </c>
      <c r="H16" s="90" t="s">
        <v>65</v>
      </c>
      <c r="I16" s="37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0">
        <f>ROW()-2</f>
        <v>15</v>
      </c>
      <c r="B17" s="106"/>
      <c r="C17" s="20"/>
      <c r="D17" s="111"/>
      <c r="E17" s="99" t="s">
        <v>66</v>
      </c>
      <c r="F17" s="87"/>
      <c r="G17" s="91" t="s">
        <v>67</v>
      </c>
      <c r="H17" s="95" t="s">
        <v>68</v>
      </c>
      <c r="I17" s="37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0">
        <f>ROW()-2</f>
        <v>16</v>
      </c>
      <c r="B18" s="106"/>
      <c r="C18" s="20"/>
      <c r="D18" s="112"/>
      <c r="E18" s="100" t="s">
        <v>69</v>
      </c>
      <c r="F18" s="94"/>
      <c r="G18" s="96" t="s">
        <v>70</v>
      </c>
      <c r="H18" s="53" t="s">
        <v>71</v>
      </c>
      <c r="I18" s="37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0">
        <f>ROW()-2</f>
        <v>17</v>
      </c>
      <c r="B19" s="106"/>
      <c r="C19" s="20"/>
      <c r="D19" s="120" t="s">
        <v>72</v>
      </c>
      <c r="E19" s="114" t="s">
        <v>73</v>
      </c>
      <c r="F19" s="117" t="s">
        <v>74</v>
      </c>
      <c r="G19" s="115" t="s">
        <v>75</v>
      </c>
      <c r="H19" s="83" t="s">
        <v>76</v>
      </c>
      <c r="I19" s="37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0">
        <f>ROW()-2</f>
        <v>18</v>
      </c>
      <c r="B20" s="106"/>
      <c r="C20" s="20"/>
      <c r="D20" s="121"/>
      <c r="E20" s="116" t="s">
        <v>77</v>
      </c>
      <c r="F20" s="118" t="s">
        <v>78</v>
      </c>
      <c r="G20" s="115" t="s">
        <v>79</v>
      </c>
      <c r="H20" s="83" t="s">
        <v>80</v>
      </c>
      <c r="I20" s="37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0">
        <f>ROW()-2</f>
        <v>19</v>
      </c>
      <c r="B21" s="106"/>
      <c r="C21" s="20"/>
      <c r="D21" s="122"/>
      <c r="E21" s="119" t="s">
        <v>81</v>
      </c>
      <c r="F21" s="8"/>
      <c r="G21" s="8"/>
      <c r="H21" s="8"/>
      <c r="I21" s="37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0">
        <f>ROW()-2</f>
        <v>20</v>
      </c>
      <c r="B22" s="106"/>
      <c r="C22" s="20"/>
      <c r="D22" s="113" t="s">
        <v>82</v>
      </c>
      <c r="E22" s="92" t="s">
        <v>83</v>
      </c>
      <c r="F22" s="93"/>
      <c r="G22" s="93" t="s">
        <v>84</v>
      </c>
      <c r="H22" s="93" t="s">
        <v>85</v>
      </c>
      <c r="I22" s="3" t="s">
        <v>32</v>
      </c>
      <c r="J22" s="8"/>
      <c r="K22" s="8"/>
      <c r="L22" s="6" t="str">
        <f>IF(B19="",L18,B19)</f>
        <v>메뉴기능</v>
      </c>
    </row>
    <row r="23" spans="1:12" ht="12.75" customHeight="1">
      <c r="A23" s="30">
        <f>ROW()-2</f>
        <v>21</v>
      </c>
      <c r="B23" s="106"/>
      <c r="C23" s="20"/>
      <c r="D23" s="113"/>
      <c r="E23" s="7" t="s">
        <v>86</v>
      </c>
      <c r="F23" s="8"/>
      <c r="G23" s="8" t="s">
        <v>87</v>
      </c>
      <c r="H23" s="8" t="s">
        <v>88</v>
      </c>
      <c r="I23" s="3" t="s">
        <v>32</v>
      </c>
      <c r="J23" s="8"/>
      <c r="K23" s="8"/>
      <c r="L23" s="6" t="str">
        <f>IF(B20="",L22,B20)</f>
        <v>메뉴기능</v>
      </c>
    </row>
    <row r="24" spans="1:12" ht="12.75" customHeight="1">
      <c r="A24" s="30">
        <f>ROW()-2</f>
        <v>22</v>
      </c>
      <c r="B24" s="106"/>
      <c r="C24" s="20"/>
      <c r="D24" s="48"/>
      <c r="E24" s="7" t="s">
        <v>89</v>
      </c>
      <c r="F24" s="8"/>
      <c r="G24" s="8" t="s">
        <v>90</v>
      </c>
      <c r="H24" s="8" t="s">
        <v>91</v>
      </c>
      <c r="I24" s="3" t="s">
        <v>32</v>
      </c>
      <c r="J24" s="8"/>
      <c r="K24" s="8"/>
      <c r="L24" s="6" t="str">
        <f>IF(B21="",L23,B21)</f>
        <v>메뉴기능</v>
      </c>
    </row>
    <row r="25" spans="1:12" ht="12.75" customHeight="1">
      <c r="A25" s="30">
        <f>ROW()-2</f>
        <v>23</v>
      </c>
      <c r="B25" s="106"/>
      <c r="C25" s="20"/>
      <c r="D25" s="37" t="s">
        <v>92</v>
      </c>
      <c r="E25" s="7" t="s">
        <v>93</v>
      </c>
      <c r="F25" s="8"/>
      <c r="G25" s="8" t="s">
        <v>94</v>
      </c>
      <c r="H25" s="8" t="s">
        <v>95</v>
      </c>
      <c r="I25" s="3" t="s">
        <v>32</v>
      </c>
      <c r="J25" s="8"/>
      <c r="K25" s="8"/>
      <c r="L25" s="6" t="str">
        <f>IF(B26="",L37,B26)</f>
        <v>메뉴기능</v>
      </c>
    </row>
    <row r="26" spans="1:12" ht="12.75" customHeight="1">
      <c r="A26" s="30">
        <f>ROW()-2</f>
        <v>24</v>
      </c>
      <c r="B26" s="107"/>
      <c r="C26" s="101"/>
      <c r="D26" s="48"/>
      <c r="E26" s="7" t="s">
        <v>96</v>
      </c>
      <c r="F26" s="8"/>
      <c r="G26" s="8" t="s">
        <v>97</v>
      </c>
      <c r="H26" s="8" t="s">
        <v>98</v>
      </c>
      <c r="I26" s="3" t="s">
        <v>32</v>
      </c>
      <c r="J26" s="8"/>
      <c r="K26" s="8"/>
      <c r="L26" s="6" t="str">
        <f>IF(B27="",L25,B27)</f>
        <v>메뉴기능</v>
      </c>
    </row>
    <row r="27" spans="1:12" ht="12.75" customHeight="1">
      <c r="A27" s="30">
        <f>ROW()-2</f>
        <v>25</v>
      </c>
      <c r="B27" s="107"/>
      <c r="C27" s="101"/>
      <c r="D27" s="46"/>
      <c r="E27" s="7" t="s">
        <v>99</v>
      </c>
      <c r="F27" s="8"/>
      <c r="G27" s="8" t="s">
        <v>100</v>
      </c>
      <c r="H27" s="21" t="s">
        <v>61</v>
      </c>
      <c r="I27" s="3" t="s">
        <v>32</v>
      </c>
      <c r="J27" s="8"/>
      <c r="K27" s="8"/>
      <c r="L27" s="6" t="str">
        <f>IF(B28="",L26,B28)</f>
        <v>메뉴기능</v>
      </c>
    </row>
    <row r="28" spans="1:12" ht="12.75" customHeight="1">
      <c r="A28" s="30">
        <f>ROW()-2</f>
        <v>26</v>
      </c>
      <c r="B28" s="107"/>
      <c r="C28" s="101"/>
      <c r="D28" s="47"/>
      <c r="E28" s="7" t="s">
        <v>101</v>
      </c>
      <c r="F28" s="8"/>
      <c r="G28" s="8" t="s">
        <v>102</v>
      </c>
      <c r="H28" s="21" t="s">
        <v>61</v>
      </c>
      <c r="I28" s="3" t="s">
        <v>32</v>
      </c>
      <c r="J28" s="8"/>
      <c r="K28" s="8"/>
      <c r="L28" s="6" t="str">
        <f>IF(B29="",L27,B29)</f>
        <v>메뉴기능</v>
      </c>
    </row>
    <row r="29" spans="1:12" ht="12.75" customHeight="1">
      <c r="A29" s="30">
        <f>ROW()-2</f>
        <v>27</v>
      </c>
      <c r="B29" s="107"/>
      <c r="C29" s="101"/>
      <c r="D29" s="37" t="s">
        <v>103</v>
      </c>
      <c r="E29" s="65" t="s">
        <v>104</v>
      </c>
      <c r="F29" s="8" t="s">
        <v>105</v>
      </c>
      <c r="G29" s="8" t="s">
        <v>106</v>
      </c>
      <c r="H29" s="8" t="s">
        <v>107</v>
      </c>
      <c r="I29" s="3" t="s">
        <v>32</v>
      </c>
      <c r="J29" s="8"/>
      <c r="K29" s="8"/>
      <c r="L29" s="6" t="str">
        <f>IF(B30="",L28,B30)</f>
        <v>메뉴기능</v>
      </c>
    </row>
    <row r="30" spans="1:12" ht="12.75" customHeight="1">
      <c r="A30" s="30">
        <f>ROW()-2</f>
        <v>28</v>
      </c>
      <c r="B30" s="108"/>
      <c r="C30" s="102"/>
      <c r="D30" s="133" t="s">
        <v>108</v>
      </c>
      <c r="E30" s="125" t="s">
        <v>109</v>
      </c>
      <c r="F30" s="127"/>
      <c r="G30" s="128" t="s">
        <v>110</v>
      </c>
      <c r="H30" s="128" t="s">
        <v>111</v>
      </c>
      <c r="I30" s="3" t="s">
        <v>32</v>
      </c>
      <c r="K30" s="8"/>
      <c r="L30" s="6" t="s">
        <v>112</v>
      </c>
    </row>
    <row r="31" spans="1:12" ht="12.75" customHeight="1">
      <c r="A31" s="30">
        <f>ROW()-2</f>
        <v>29</v>
      </c>
      <c r="C31" s="131"/>
      <c r="D31" s="134"/>
      <c r="E31" s="123" t="s">
        <v>113</v>
      </c>
      <c r="F31" s="93"/>
      <c r="G31" s="124" t="s">
        <v>114</v>
      </c>
      <c r="H31" s="126" t="s">
        <v>115</v>
      </c>
      <c r="I31" s="3" t="s">
        <v>32</v>
      </c>
      <c r="J31" s="8"/>
      <c r="K31" s="8"/>
      <c r="L31" s="6" t="s">
        <v>112</v>
      </c>
    </row>
    <row r="32" spans="1:12" ht="12.75" customHeight="1">
      <c r="A32" s="30">
        <f>ROW()-2</f>
        <v>30</v>
      </c>
      <c r="C32" s="131"/>
      <c r="D32" s="135" t="s">
        <v>116</v>
      </c>
      <c r="E32" s="118" t="s">
        <v>117</v>
      </c>
      <c r="F32" s="8"/>
      <c r="G32" s="130" t="s">
        <v>118</v>
      </c>
      <c r="H32" s="129" t="s">
        <v>119</v>
      </c>
      <c r="I32" s="3" t="s">
        <v>120</v>
      </c>
      <c r="J32" s="8" t="s">
        <v>121</v>
      </c>
      <c r="K32" s="8"/>
      <c r="L32" s="6" t="str">
        <f>IF(B33="",L31,B33)</f>
        <v>UI </v>
      </c>
    </row>
    <row r="33" spans="1:12" ht="12.75" customHeight="1">
      <c r="A33" s="30">
        <f>ROW()-2</f>
        <v>31</v>
      </c>
      <c r="C33" s="131"/>
      <c r="D33" s="136"/>
      <c r="E33" s="8" t="s">
        <v>122</v>
      </c>
      <c r="F33" s="8"/>
      <c r="G33" s="8" t="s">
        <v>123</v>
      </c>
      <c r="H33" s="8" t="s">
        <v>124</v>
      </c>
      <c r="I33" s="3" t="s">
        <v>120</v>
      </c>
      <c r="J33" s="8" t="s">
        <v>121</v>
      </c>
      <c r="K33" s="8"/>
      <c r="L33" s="6" t="s">
        <v>112</v>
      </c>
    </row>
    <row r="34" spans="1:12" ht="12.75" customHeight="1">
      <c r="A34" s="30">
        <f>ROW()-2</f>
        <v>32</v>
      </c>
      <c r="C34" s="131"/>
      <c r="D34" s="46" t="s">
        <v>125</v>
      </c>
      <c r="E34" s="7" t="s">
        <v>126</v>
      </c>
      <c r="F34" s="8"/>
      <c r="G34" s="8" t="s">
        <v>127</v>
      </c>
      <c r="H34" s="8" t="s">
        <v>128</v>
      </c>
      <c r="I34" s="3" t="s">
        <v>32</v>
      </c>
      <c r="J34" s="8"/>
      <c r="K34" s="8"/>
      <c r="L34" s="6" t="str">
        <f>IF(B22="",L24,B22)</f>
        <v>메뉴기능</v>
      </c>
    </row>
    <row r="35" spans="1:12" ht="12.75" customHeight="1">
      <c r="A35" s="30">
        <f>ROW()-2</f>
        <v>33</v>
      </c>
      <c r="C35" s="131"/>
      <c r="D35" s="48"/>
      <c r="E35" s="7" t="s">
        <v>129</v>
      </c>
      <c r="F35" s="8"/>
      <c r="G35" s="8" t="s">
        <v>130</v>
      </c>
      <c r="H35" s="8" t="s">
        <v>131</v>
      </c>
      <c r="I35" s="3" t="s">
        <v>32</v>
      </c>
      <c r="J35" s="8"/>
      <c r="K35" s="8"/>
      <c r="L35" s="6" t="str">
        <f>IF(B23="",L34,B23)</f>
        <v>메뉴기능</v>
      </c>
    </row>
    <row r="36" spans="1:12" ht="12.75" customHeight="1">
      <c r="A36" s="30">
        <f>ROW()-2</f>
        <v>34</v>
      </c>
      <c r="C36" s="131"/>
      <c r="D36" s="46" t="s">
        <v>132</v>
      </c>
      <c r="E36" s="7" t="s">
        <v>133</v>
      </c>
      <c r="F36" s="8"/>
      <c r="G36" s="8" t="s">
        <v>134</v>
      </c>
      <c r="H36" s="8" t="s">
        <v>135</v>
      </c>
      <c r="I36" s="3" t="s">
        <v>32</v>
      </c>
      <c r="J36" s="8"/>
      <c r="K36" s="8"/>
      <c r="L36" s="6" t="str">
        <f>IF(B24="",L35,B24)</f>
        <v>메뉴기능</v>
      </c>
    </row>
    <row r="37" spans="1:12" ht="12.75" customHeight="1">
      <c r="A37" s="30">
        <f>ROW()-2</f>
        <v>35</v>
      </c>
      <c r="C37" s="132"/>
      <c r="D37" s="48"/>
      <c r="E37" s="7" t="s">
        <v>136</v>
      </c>
      <c r="F37" s="8"/>
      <c r="G37" s="8" t="s">
        <v>137</v>
      </c>
      <c r="H37" s="8" t="s">
        <v>131</v>
      </c>
      <c r="I37" s="3" t="s">
        <v>32</v>
      </c>
      <c r="J37" s="8"/>
      <c r="K37" s="8"/>
      <c r="L37" s="6" t="str">
        <f>IF(B25="",L36,B25)</f>
        <v>메뉴기능</v>
      </c>
    </row>
    <row r="38" spans="1:12" ht="12.75" customHeight="1">
      <c r="A38" s="30">
        <f>ROW()-2</f>
        <v>36</v>
      </c>
      <c r="C38" s="104" t="s">
        <v>138</v>
      </c>
      <c r="D38" s="46" t="s">
        <v>139</v>
      </c>
      <c r="E38" s="65" t="s">
        <v>140</v>
      </c>
      <c r="F38" s="8"/>
      <c r="G38" s="8" t="s">
        <v>141</v>
      </c>
      <c r="H38" s="8" t="s">
        <v>142</v>
      </c>
      <c r="I38" s="3" t="s">
        <v>32</v>
      </c>
      <c r="J38" s="8"/>
      <c r="K38" s="8"/>
      <c r="L38" s="6" t="str">
        <f>IF(B47="",L41,B47)</f>
        <v>인게임기능</v>
      </c>
    </row>
    <row r="39" spans="1:17" ht="12.75" customHeight="1">
      <c r="A39" s="30">
        <f>ROW()-2</f>
        <v>37</v>
      </c>
      <c r="C39" s="47"/>
      <c r="D39" s="48"/>
      <c r="E39" s="66" t="s">
        <v>143</v>
      </c>
      <c r="F39" s="8"/>
      <c r="G39" s="8" t="s">
        <v>144</v>
      </c>
      <c r="H39" s="8" t="s">
        <v>145</v>
      </c>
      <c r="I39" s="3" t="s">
        <v>32</v>
      </c>
      <c r="K39" s="8"/>
      <c r="L39" s="6" t="str">
        <f>IF(B48="",L38,B48)</f>
        <v>인게임기능</v>
      </c>
      <c r="Q39" s="3"/>
    </row>
    <row r="40" spans="1:17" ht="12.75" customHeight="1">
      <c r="A40" s="30">
        <f>ROW()-2</f>
        <v>38</v>
      </c>
      <c r="C40" s="47"/>
      <c r="D40" s="69"/>
      <c r="E40" s="42" t="s">
        <v>146</v>
      </c>
      <c r="F40" s="31" t="s">
        <v>147</v>
      </c>
      <c r="G40" t="s">
        <v>148</v>
      </c>
      <c r="H40" s="8" t="s">
        <v>149</v>
      </c>
      <c r="I40" s="3" t="s">
        <v>32</v>
      </c>
      <c r="J40" s="8"/>
      <c r="K40" s="8"/>
      <c r="L40" s="6" t="str">
        <f>IF(B49="",L39,B49)</f>
        <v>인게임기능</v>
      </c>
      <c r="P40" s="5" t="s">
        <v>150</v>
      </c>
      <c r="Q40" s="3" t="s">
        <v>32</v>
      </c>
    </row>
    <row r="41" spans="1:17" ht="12.75" customHeight="1">
      <c r="A41" s="30">
        <f>ROW()-2</f>
        <v>39</v>
      </c>
      <c r="C41" s="47"/>
      <c r="D41" s="72" t="s">
        <v>151</v>
      </c>
      <c r="E41" s="71" t="s">
        <v>152</v>
      </c>
      <c r="F41" s="8"/>
      <c r="G41" s="8" t="s">
        <v>153</v>
      </c>
      <c r="H41" s="8" t="s">
        <v>154</v>
      </c>
      <c r="I41" s="3" t="s">
        <v>32</v>
      </c>
      <c r="J41" s="8"/>
      <c r="K41" s="8"/>
      <c r="L41" s="6" t="str">
        <f>IF(B50="",L40,B50)</f>
        <v>인게임기능</v>
      </c>
      <c r="P41" s="8" t="s">
        <v>155</v>
      </c>
      <c r="Q41" s="3" t="s">
        <v>120</v>
      </c>
    </row>
    <row r="42" spans="1:17" ht="12.75" customHeight="1">
      <c r="A42" s="30">
        <f>ROW()-2</f>
        <v>40</v>
      </c>
      <c r="C42" s="47"/>
      <c r="D42" s="33"/>
      <c r="E42" s="65" t="s">
        <v>156</v>
      </c>
      <c r="F42" s="8"/>
      <c r="G42" s="8" t="s">
        <v>157</v>
      </c>
      <c r="H42" s="8" t="s">
        <v>158</v>
      </c>
      <c r="I42" s="3" t="s">
        <v>32</v>
      </c>
      <c r="J42" s="8"/>
      <c r="K42" s="8"/>
      <c r="L42" s="6" t="str">
        <f>IF(B51="",L41,B51)</f>
        <v>인게임기능</v>
      </c>
      <c r="P42" s="8" t="s">
        <v>159</v>
      </c>
      <c r="Q42" s="3" t="s">
        <v>160</v>
      </c>
    </row>
    <row r="43" spans="1:17" ht="12.75" customHeight="1">
      <c r="A43" s="30">
        <f>ROW()-2</f>
        <v>41</v>
      </c>
      <c r="C43" s="48"/>
      <c r="D43" s="34"/>
      <c r="E43" s="65" t="s">
        <v>161</v>
      </c>
      <c r="F43" s="8" t="s">
        <v>162</v>
      </c>
      <c r="G43" s="63" t="s">
        <v>163</v>
      </c>
      <c r="H43" s="8" t="s">
        <v>164</v>
      </c>
      <c r="I43" s="3" t="s">
        <v>32</v>
      </c>
      <c r="J43" s="8"/>
      <c r="K43" s="8"/>
      <c r="L43" s="6" t="str">
        <f>IF(B52="",L42,B52)</f>
        <v>인게임기능</v>
      </c>
      <c r="P43" s="8" t="s">
        <v>165</v>
      </c>
      <c r="Q43" s="3" t="s">
        <v>54</v>
      </c>
    </row>
    <row r="44" spans="1:17" ht="12.75" customHeight="1">
      <c r="A44" s="30">
        <f>ROW()-2</f>
        <v>42</v>
      </c>
      <c r="C44" s="46"/>
      <c r="D44" s="58"/>
      <c r="E44" s="71" t="s">
        <v>166</v>
      </c>
      <c r="G44" s="50" t="s">
        <v>167</v>
      </c>
      <c r="H44" s="68" t="s">
        <v>168</v>
      </c>
      <c r="I44" s="3" t="s">
        <v>32</v>
      </c>
      <c r="J44" s="8"/>
      <c r="K44" s="8"/>
      <c r="L44" s="6" t="str">
        <f>IF(B53="",L43,B53)</f>
        <v>인게임기능</v>
      </c>
      <c r="P44" s="8" t="s">
        <v>169</v>
      </c>
      <c r="Q44" s="3" t="s">
        <v>15</v>
      </c>
    </row>
    <row r="45" spans="1:17" ht="12.75" customHeight="1">
      <c r="A45" s="30">
        <f>ROW()-2</f>
        <v>43</v>
      </c>
      <c r="C45" s="47"/>
      <c r="D45" s="35"/>
      <c r="E45" s="71" t="s">
        <v>170</v>
      </c>
      <c r="F45" s="31" t="s">
        <v>171</v>
      </c>
      <c r="G45" s="63" t="s">
        <v>163</v>
      </c>
      <c r="H45" s="8" t="s">
        <v>172</v>
      </c>
      <c r="I45" s="3" t="s">
        <v>32</v>
      </c>
      <c r="J45" s="8"/>
      <c r="K45" s="8"/>
      <c r="L45" s="6" t="str">
        <f>IF(B54="",L44,B54)</f>
        <v>인게임기능</v>
      </c>
      <c r="Q45" s="3"/>
    </row>
    <row r="46" spans="1:12" ht="12.75" customHeight="1">
      <c r="A46">
        <f>ROW()-2</f>
        <v>44</v>
      </c>
      <c r="C46" s="47"/>
      <c r="D46" s="70" t="s">
        <v>173</v>
      </c>
      <c r="E46" s="7" t="s">
        <v>174</v>
      </c>
      <c r="F46" s="8" t="s">
        <v>175</v>
      </c>
      <c r="G46" s="8" t="s">
        <v>176</v>
      </c>
      <c r="H46" s="8" t="s">
        <v>177</v>
      </c>
      <c r="I46" s="3" t="s">
        <v>32</v>
      </c>
      <c r="J46" s="8"/>
      <c r="K46" s="8"/>
      <c r="L46" s="6" t="str">
        <f>IF(B55="",L45,B55)</f>
        <v>인게임기능</v>
      </c>
    </row>
    <row r="47" spans="1:12" ht="12.75" customHeight="1">
      <c r="A47">
        <f>ROW()-2</f>
        <v>45</v>
      </c>
      <c r="B47" s="103" t="s">
        <v>178</v>
      </c>
      <c r="C47" s="47"/>
      <c r="D47" s="40" t="s">
        <v>179</v>
      </c>
      <c r="E47" s="24" t="s">
        <v>180</v>
      </c>
      <c r="F47" s="25"/>
      <c r="G47" s="23" t="s">
        <v>181</v>
      </c>
      <c r="H47" s="26" t="s">
        <v>182</v>
      </c>
      <c r="I47" s="3" t="s">
        <v>32</v>
      </c>
      <c r="J47" s="8"/>
      <c r="K47" s="8"/>
      <c r="L47" s="6" t="str">
        <f>IF(B56="",L46,B56)</f>
        <v>인게임기능</v>
      </c>
    </row>
    <row r="48" spans="1:12" ht="12.75" customHeight="1">
      <c r="A48">
        <f>ROW()-2</f>
        <v>46</v>
      </c>
      <c r="B48" s="51"/>
      <c r="C48" s="47"/>
      <c r="D48" s="67"/>
      <c r="E48" s="24" t="s">
        <v>183</v>
      </c>
      <c r="F48" s="28" t="s">
        <v>184</v>
      </c>
      <c r="G48" s="23" t="s">
        <v>181</v>
      </c>
      <c r="H48" s="27" t="s">
        <v>185</v>
      </c>
      <c r="I48" s="3" t="s">
        <v>32</v>
      </c>
      <c r="J48" s="8"/>
      <c r="K48" s="8"/>
      <c r="L48" s="6" t="str">
        <f>IF(B57="",L47,B57)</f>
        <v>인게임기능</v>
      </c>
    </row>
    <row r="49" spans="1:12" ht="12.75" customHeight="1">
      <c r="A49">
        <f>ROW()-2</f>
        <v>47</v>
      </c>
      <c r="B49" s="51"/>
      <c r="C49" s="47"/>
      <c r="D49" s="55"/>
      <c r="E49" s="24" t="s">
        <v>186</v>
      </c>
      <c r="F49" s="28" t="s">
        <v>187</v>
      </c>
      <c r="G49" s="23" t="s">
        <v>188</v>
      </c>
      <c r="H49" s="27" t="s">
        <v>189</v>
      </c>
      <c r="I49" s="3" t="s">
        <v>32</v>
      </c>
      <c r="J49" s="8"/>
      <c r="K49" s="8"/>
      <c r="L49" s="6" t="str">
        <f>IF(B58="",L48,B58)</f>
        <v>인게임기능</v>
      </c>
    </row>
    <row r="50" spans="1:12" ht="12.75" customHeight="1">
      <c r="A50">
        <f>ROW()-2</f>
        <v>48</v>
      </c>
      <c r="B50" s="51"/>
      <c r="C50" s="47"/>
      <c r="E50" s="29" t="s">
        <v>190</v>
      </c>
      <c r="F50" s="28"/>
      <c r="G50" s="23" t="s">
        <v>191</v>
      </c>
      <c r="H50" s="27" t="s">
        <v>192</v>
      </c>
      <c r="I50" s="3" t="s">
        <v>32</v>
      </c>
      <c r="J50" s="8"/>
      <c r="K50" s="8"/>
      <c r="L50" s="6" t="str">
        <f>IF(B59="",L49,B59)</f>
        <v>인게임기능</v>
      </c>
    </row>
    <row r="51" spans="1:12" ht="12.75" customHeight="1">
      <c r="A51">
        <f>ROW()-2</f>
        <v>49</v>
      </c>
      <c r="B51" s="51"/>
      <c r="C51" s="47"/>
      <c r="D51" s="25"/>
      <c r="E51" s="29" t="s">
        <v>193</v>
      </c>
      <c r="F51" s="28"/>
      <c r="G51" s="23" t="s">
        <v>194</v>
      </c>
      <c r="H51" s="27" t="s">
        <v>195</v>
      </c>
      <c r="I51" s="3" t="s">
        <v>32</v>
      </c>
      <c r="J51" s="8"/>
      <c r="K51" s="8"/>
      <c r="L51" s="6" t="str">
        <f>IF(B60="",L50,B60)</f>
        <v>인게임기능</v>
      </c>
    </row>
    <row r="52" spans="1:12" ht="12.75" customHeight="1">
      <c r="A52">
        <f>ROW()-2</f>
        <v>50</v>
      </c>
      <c r="B52" s="51"/>
      <c r="C52" s="47"/>
      <c r="D52" s="46" t="s">
        <v>196</v>
      </c>
      <c r="E52" s="7" t="s">
        <v>197</v>
      </c>
      <c r="F52" s="8"/>
      <c r="G52" s="8" t="s">
        <v>198</v>
      </c>
      <c r="H52" s="8" t="s">
        <v>199</v>
      </c>
      <c r="I52" s="3" t="s">
        <v>32</v>
      </c>
      <c r="J52" s="8"/>
      <c r="K52" s="8"/>
      <c r="L52" s="6" t="str">
        <f>IF(B61="",L51,B61)</f>
        <v>인게임기능</v>
      </c>
    </row>
    <row r="53" spans="1:12" ht="12.75" customHeight="1">
      <c r="A53">
        <f>ROW()-2</f>
        <v>51</v>
      </c>
      <c r="B53" s="51"/>
      <c r="C53" s="48"/>
      <c r="D53" s="48"/>
      <c r="E53" s="7" t="s">
        <v>200</v>
      </c>
      <c r="F53" s="8"/>
      <c r="G53" s="8" t="s">
        <v>201</v>
      </c>
      <c r="H53" s="8" t="s">
        <v>202</v>
      </c>
      <c r="I53" s="3" t="s">
        <v>32</v>
      </c>
      <c r="J53" s="8"/>
      <c r="K53" s="8"/>
      <c r="L53" s="6" t="str">
        <f>IF(B62="",L52,B62)</f>
        <v>인게임기능</v>
      </c>
    </row>
    <row r="54" spans="1:12" ht="12.75" customHeight="1">
      <c r="A54">
        <f>ROW()-2</f>
        <v>52</v>
      </c>
      <c r="B54" s="51"/>
      <c r="C54" s="56"/>
      <c r="D54" s="37" t="s">
        <v>203</v>
      </c>
      <c r="E54" s="7" t="s">
        <v>204</v>
      </c>
      <c r="F54" s="8"/>
      <c r="G54" s="8" t="s">
        <v>205</v>
      </c>
      <c r="H54" s="8" t="s">
        <v>206</v>
      </c>
      <c r="I54" s="3" t="s">
        <v>32</v>
      </c>
      <c r="J54" s="8"/>
      <c r="K54" s="8"/>
      <c r="L54" s="6" t="str">
        <f>IF(B63="",L53,B63)</f>
        <v>인게임기능</v>
      </c>
    </row>
    <row r="55" spans="1:12" ht="12.75" customHeight="1">
      <c r="A55">
        <f>ROW()-2</f>
        <v>53</v>
      </c>
      <c r="B55" s="51"/>
      <c r="C55" s="58"/>
      <c r="D55" s="48"/>
      <c r="E55" s="7" t="s">
        <v>96</v>
      </c>
      <c r="F55" s="8"/>
      <c r="G55" s="8" t="s">
        <v>96</v>
      </c>
      <c r="H55" s="8" t="s">
        <v>207</v>
      </c>
      <c r="I55" s="3" t="s">
        <v>32</v>
      </c>
      <c r="J55" s="8"/>
      <c r="K55" s="8"/>
      <c r="L55" s="6" t="str">
        <f>IF(B64="",L58,B64)</f>
        <v>인게임기능</v>
      </c>
    </row>
    <row r="56" spans="1:12" ht="12.75" customHeight="1">
      <c r="A56">
        <f>ROW()-2</f>
        <v>54</v>
      </c>
      <c r="B56" s="51"/>
      <c r="C56" s="49"/>
      <c r="D56" s="46"/>
      <c r="E56" s="7" t="s">
        <v>99</v>
      </c>
      <c r="F56" s="8"/>
      <c r="G56" s="8" t="s">
        <v>99</v>
      </c>
      <c r="H56" s="21" t="s">
        <v>61</v>
      </c>
      <c r="I56" s="3" t="s">
        <v>32</v>
      </c>
      <c r="J56" s="8"/>
      <c r="K56" s="8"/>
      <c r="L56" s="6" t="str">
        <f>IF(B65="",L55,B65)</f>
        <v>인게임기능</v>
      </c>
    </row>
    <row r="57" spans="1:12" ht="12.75" customHeight="1">
      <c r="A57">
        <f>ROW()-2</f>
        <v>55</v>
      </c>
      <c r="B57" s="51"/>
      <c r="C57" s="35"/>
      <c r="D57" s="48"/>
      <c r="E57" s="7" t="s">
        <v>101</v>
      </c>
      <c r="F57" s="8"/>
      <c r="G57" s="8" t="s">
        <v>101</v>
      </c>
      <c r="H57" s="21" t="s">
        <v>61</v>
      </c>
      <c r="I57" s="3" t="s">
        <v>32</v>
      </c>
      <c r="J57" s="8"/>
      <c r="K57" s="8"/>
      <c r="L57" s="6" t="str">
        <f>IF(B66="",L56,B66)</f>
        <v>인게임기능</v>
      </c>
    </row>
    <row r="58" spans="1:12" ht="12.75" customHeight="1">
      <c r="A58">
        <f>ROW()-2</f>
        <v>56</v>
      </c>
      <c r="B58" s="51"/>
      <c r="C58" s="40" t="s">
        <v>208</v>
      </c>
      <c r="D58" s="32" t="s">
        <v>209</v>
      </c>
      <c r="E58" s="24" t="s">
        <v>210</v>
      </c>
      <c r="F58" s="35"/>
      <c r="G58" s="24" t="s">
        <v>211</v>
      </c>
      <c r="H58" s="28" t="s">
        <v>212</v>
      </c>
      <c r="I58" s="3" t="s">
        <v>32</v>
      </c>
      <c r="J58" s="8"/>
      <c r="K58" s="8"/>
      <c r="L58" s="6" t="str">
        <f>IF(B67="",L57,B67)</f>
        <v>인게임기능</v>
      </c>
    </row>
    <row r="59" spans="1:12" ht="12.75" customHeight="1">
      <c r="A59">
        <f>ROW()-2</f>
        <v>57</v>
      </c>
      <c r="B59" s="51"/>
      <c r="C59" s="54"/>
      <c r="D59" s="33"/>
      <c r="E59" s="24" t="s">
        <v>213</v>
      </c>
      <c r="F59" s="35"/>
      <c r="G59" s="24" t="s">
        <v>214</v>
      </c>
      <c r="H59" s="31" t="s">
        <v>215</v>
      </c>
      <c r="I59" s="3" t="s">
        <v>32</v>
      </c>
      <c r="J59" s="8"/>
      <c r="K59" s="8"/>
      <c r="L59" s="6" t="str">
        <f>IF(B68="",L58,B68)</f>
        <v>인게임기능</v>
      </c>
    </row>
    <row r="60" spans="2:12" ht="12.75" customHeight="1">
      <c r="B60" s="51"/>
      <c r="C60" s="54"/>
      <c r="D60" s="33"/>
      <c r="E60" s="35" t="s">
        <v>216</v>
      </c>
      <c r="F60" s="27" t="s">
        <v>217</v>
      </c>
      <c r="G60" s="24" t="s">
        <v>218</v>
      </c>
      <c r="H60" s="36" t="s">
        <v>219</v>
      </c>
      <c r="I60" s="37" t="s">
        <v>32</v>
      </c>
      <c r="J60" s="8"/>
      <c r="K60" s="8"/>
      <c r="L60" s="6" t="str">
        <f>IF(B69="",L59,B69)</f>
        <v>인게임기능</v>
      </c>
    </row>
    <row r="61" spans="2:12" ht="12.75" customHeight="1">
      <c r="B61" s="51"/>
      <c r="C61" s="54"/>
      <c r="D61" s="34"/>
      <c r="E61" s="35" t="s">
        <v>220</v>
      </c>
      <c r="F61" s="27" t="s">
        <v>221</v>
      </c>
      <c r="G61" s="35" t="s">
        <v>222</v>
      </c>
      <c r="H61" s="28" t="s">
        <v>223</v>
      </c>
      <c r="I61" s="3" t="s">
        <v>32</v>
      </c>
      <c r="J61" s="8"/>
      <c r="K61" s="8"/>
      <c r="L61" s="6" t="str">
        <f>IF(B70="",L60,B70)</f>
        <v>인게임기능</v>
      </c>
    </row>
    <row r="62" spans="2:12" ht="12.75" customHeight="1">
      <c r="B62" s="51"/>
      <c r="C62" s="54"/>
      <c r="D62" s="25"/>
      <c r="E62" s="29" t="s">
        <v>224</v>
      </c>
      <c r="F62" s="39"/>
      <c r="G62" s="29" t="s">
        <v>225</v>
      </c>
      <c r="H62" s="52" t="s">
        <v>226</v>
      </c>
      <c r="I62" s="3" t="s">
        <v>32</v>
      </c>
      <c r="K62" s="8"/>
      <c r="L62" s="6" t="str">
        <f>IF(B71="",L61,B71)</f>
        <v>인게임기능</v>
      </c>
    </row>
    <row r="63" spans="2:12" ht="12.75" customHeight="1">
      <c r="B63" s="50"/>
      <c r="C63" s="24"/>
      <c r="D63" s="32" t="s">
        <v>227</v>
      </c>
      <c r="E63" s="24" t="s">
        <v>228</v>
      </c>
      <c r="F63" s="35"/>
      <c r="G63" s="24" t="s">
        <v>229</v>
      </c>
      <c r="H63" s="28" t="s">
        <v>230</v>
      </c>
      <c r="I63" s="3" t="s">
        <v>32</v>
      </c>
      <c r="J63" s="8"/>
      <c r="K63" s="8"/>
      <c r="L63" s="6" t="str">
        <f>IF(B72="",L62,B72)</f>
        <v>인게임기능</v>
      </c>
    </row>
    <row r="64" spans="2:12" ht="12.75" customHeight="1">
      <c r="B64" s="50"/>
      <c r="C64" s="58"/>
      <c r="D64" s="34"/>
      <c r="E64" s="24" t="s">
        <v>231</v>
      </c>
      <c r="F64" s="24" t="s">
        <v>232</v>
      </c>
      <c r="G64" s="24" t="s">
        <v>233</v>
      </c>
      <c r="H64" s="31" t="s">
        <v>234</v>
      </c>
      <c r="I64" s="3" t="s">
        <v>32</v>
      </c>
      <c r="J64" s="8"/>
      <c r="K64" s="8"/>
      <c r="L64" s="6" t="str">
        <f>IF(B73="",L63,B73)</f>
        <v>인게임기능</v>
      </c>
    </row>
    <row r="65" spans="2:12" ht="12.75" customHeight="1">
      <c r="B65" s="50"/>
      <c r="C65" s="35"/>
      <c r="D65" s="35"/>
      <c r="E65" s="24" t="s">
        <v>235</v>
      </c>
      <c r="F65" s="31" t="s">
        <v>236</v>
      </c>
      <c r="G65" s="31" t="s">
        <v>237</v>
      </c>
      <c r="H65" s="31" t="s">
        <v>238</v>
      </c>
      <c r="I65" s="3" t="s">
        <v>32</v>
      </c>
      <c r="K65" s="8"/>
      <c r="L65" s="6" t="str">
        <f>IF(B74="",L64,B74)</f>
        <v>인게임기능</v>
      </c>
    </row>
    <row r="66" spans="2:12" ht="12.75" customHeight="1">
      <c r="B66" s="50"/>
      <c r="C66" s="58"/>
      <c r="D66" s="32" t="s">
        <v>239</v>
      </c>
      <c r="E66" s="24" t="s">
        <v>228</v>
      </c>
      <c r="F66" s="27"/>
      <c r="G66" s="24" t="s">
        <v>229</v>
      </c>
      <c r="H66" s="36" t="s">
        <v>230</v>
      </c>
      <c r="I66" s="37" t="s">
        <v>32</v>
      </c>
      <c r="J66" s="8"/>
      <c r="K66" s="8"/>
      <c r="L66" s="6" t="str">
        <f>IF(B75="",L65,B75)</f>
        <v>인게임기능</v>
      </c>
    </row>
    <row r="67" spans="2:12" ht="12.75" customHeight="1">
      <c r="B67" s="50"/>
      <c r="C67" s="35"/>
      <c r="D67" s="34"/>
      <c r="E67" s="24" t="s">
        <v>220</v>
      </c>
      <c r="F67" s="24" t="s">
        <v>232</v>
      </c>
      <c r="G67" s="24" t="s">
        <v>240</v>
      </c>
      <c r="H67" s="28" t="s">
        <v>241</v>
      </c>
      <c r="I67" s="3" t="s">
        <v>32</v>
      </c>
      <c r="J67" s="8"/>
      <c r="K67" s="8"/>
      <c r="L67" s="6" t="str">
        <f>IF(B76="",L66,B76)</f>
        <v>인게임기능</v>
      </c>
    </row>
    <row r="68" spans="2:12" ht="12.75" customHeight="1">
      <c r="B68" s="50"/>
      <c r="C68" s="58"/>
      <c r="D68" s="40" t="s">
        <v>242</v>
      </c>
      <c r="E68" s="24" t="s">
        <v>243</v>
      </c>
      <c r="F68" s="35"/>
      <c r="G68" s="24" t="s">
        <v>244</v>
      </c>
      <c r="H68" s="29" t="s">
        <v>245</v>
      </c>
      <c r="I68" s="3" t="s">
        <v>32</v>
      </c>
      <c r="J68" s="8"/>
      <c r="K68" s="8"/>
      <c r="L68" s="6" t="str">
        <f>IF(B77="",L67,B77)</f>
        <v>인게임기능</v>
      </c>
    </row>
    <row r="69" spans="2:12" ht="12.75" customHeight="1">
      <c r="B69" s="50"/>
      <c r="C69" s="49"/>
      <c r="D69" s="35"/>
      <c r="E69" s="36" t="s">
        <v>246</v>
      </c>
      <c r="F69" s="41" t="s">
        <v>247</v>
      </c>
      <c r="G69" s="36" t="s">
        <v>248</v>
      </c>
      <c r="H69" s="42" t="s">
        <v>249</v>
      </c>
      <c r="I69" s="3" t="s">
        <v>32</v>
      </c>
      <c r="J69" s="8"/>
      <c r="K69" s="8"/>
      <c r="L69" s="6" t="str">
        <f>IF(B78="",L68,B78)</f>
        <v>인게임기능</v>
      </c>
    </row>
    <row r="70" spans="2:12" ht="12.75" customHeight="1">
      <c r="B70" s="50"/>
      <c r="C70" s="35"/>
      <c r="D70" s="35"/>
      <c r="E70" s="24" t="s">
        <v>250</v>
      </c>
      <c r="F70" s="29" t="s">
        <v>236</v>
      </c>
      <c r="G70" s="35" t="s">
        <v>251</v>
      </c>
      <c r="H70" s="52" t="s">
        <v>252</v>
      </c>
      <c r="I70" s="3" t="s">
        <v>32</v>
      </c>
      <c r="J70" s="8"/>
      <c r="K70" s="8"/>
      <c r="L70" s="6" t="str">
        <f>IF(B79="",L69,B79)</f>
        <v>인게임기능</v>
      </c>
    </row>
    <row r="71" spans="2:12" ht="12.75" customHeight="1">
      <c r="B71" s="50"/>
      <c r="C71" s="58"/>
      <c r="D71" s="40" t="s">
        <v>253</v>
      </c>
      <c r="E71" s="36" t="s">
        <v>254</v>
      </c>
      <c r="F71" s="50"/>
      <c r="G71" s="41" t="s">
        <v>255</v>
      </c>
      <c r="H71" s="44" t="s">
        <v>256</v>
      </c>
      <c r="I71" s="3" t="s">
        <v>32</v>
      </c>
      <c r="J71" s="8"/>
      <c r="K71" s="8"/>
      <c r="L71" s="6" t="str">
        <f>IF(B80="",L70,B80)</f>
        <v>인게임기능</v>
      </c>
    </row>
    <row r="72" spans="2:12" ht="12.75" customHeight="1">
      <c r="B72" s="50"/>
      <c r="C72" s="49"/>
      <c r="D72" s="49"/>
      <c r="E72" s="36" t="s">
        <v>257</v>
      </c>
      <c r="F72" s="42" t="s">
        <v>258</v>
      </c>
      <c r="G72" s="43" t="s">
        <v>259</v>
      </c>
      <c r="H72" s="44" t="s">
        <v>260</v>
      </c>
      <c r="I72" s="3" t="s">
        <v>120</v>
      </c>
      <c r="J72" s="8" t="s">
        <v>261</v>
      </c>
      <c r="K72" s="8"/>
      <c r="L72" s="6" t="str">
        <f>IF(B81="",L71,B81)</f>
        <v>인게임기능</v>
      </c>
    </row>
    <row r="73" spans="2:12" ht="12.75" customHeight="1">
      <c r="B73" s="50"/>
      <c r="C73" s="49"/>
      <c r="D73" s="35"/>
      <c r="E73" s="36" t="s">
        <v>262</v>
      </c>
      <c r="F73" s="42" t="s">
        <v>263</v>
      </c>
      <c r="G73" s="42" t="s">
        <v>264</v>
      </c>
      <c r="H73" s="44" t="s">
        <v>265</v>
      </c>
      <c r="I73" s="3" t="s">
        <v>32</v>
      </c>
      <c r="J73" s="8"/>
      <c r="K73" s="8"/>
      <c r="L73" s="6" t="str">
        <f>IF(B82="",L72,B82)</f>
        <v>인게임기능</v>
      </c>
    </row>
    <row r="74" spans="2:12" ht="12.75" customHeight="1">
      <c r="B74" s="50"/>
      <c r="C74" s="35"/>
      <c r="D74" s="49"/>
      <c r="E74" s="24" t="s">
        <v>266</v>
      </c>
      <c r="F74" s="29" t="s">
        <v>267</v>
      </c>
      <c r="G74" s="24" t="s">
        <v>268</v>
      </c>
      <c r="H74" s="52" t="s">
        <v>269</v>
      </c>
      <c r="I74" s="3" t="s">
        <v>32</v>
      </c>
      <c r="J74" s="8"/>
      <c r="K74" s="8"/>
      <c r="L74" s="6" t="str">
        <f>IF(B83="",L73,B83)</f>
        <v>인게임기능</v>
      </c>
    </row>
    <row r="75" spans="2:12" ht="12.75" customHeight="1">
      <c r="B75" s="50"/>
      <c r="C75" s="79"/>
      <c r="D75" s="35"/>
      <c r="E75" s="36" t="s">
        <v>270</v>
      </c>
      <c r="F75" s="43" t="s">
        <v>271</v>
      </c>
      <c r="G75" s="41" t="s">
        <v>272</v>
      </c>
      <c r="H75" s="44" t="s">
        <v>273</v>
      </c>
      <c r="I75" s="3" t="s">
        <v>32</v>
      </c>
      <c r="K75" s="8"/>
      <c r="L75" s="6" t="str">
        <f>IF(B84="",L74,B84)</f>
        <v>인게임기능</v>
      </c>
    </row>
    <row r="76" spans="2:12" ht="12.75" customHeight="1">
      <c r="B76" s="50"/>
      <c r="C76" s="35"/>
      <c r="D76" s="40" t="s">
        <v>274</v>
      </c>
      <c r="E76" s="36" t="s">
        <v>275</v>
      </c>
      <c r="F76" s="50"/>
      <c r="G76" s="41" t="s">
        <v>276</v>
      </c>
      <c r="H76" s="44" t="s">
        <v>277</v>
      </c>
      <c r="I76" s="3" t="s">
        <v>32</v>
      </c>
      <c r="J76" s="8"/>
      <c r="K76" s="8"/>
      <c r="L76" s="6" t="str">
        <f>IF(B85="",L75,B85)</f>
        <v>인게임기능</v>
      </c>
    </row>
    <row r="77" spans="2:12" ht="12.75" customHeight="1">
      <c r="B77" s="50"/>
      <c r="C77" s="58"/>
      <c r="D77" s="49"/>
      <c r="E77" s="36" t="s">
        <v>278</v>
      </c>
      <c r="F77" s="42" t="s">
        <v>279</v>
      </c>
      <c r="G77" s="42" t="s">
        <v>280</v>
      </c>
      <c r="H77" s="44" t="s">
        <v>281</v>
      </c>
      <c r="I77" s="3" t="s">
        <v>32</v>
      </c>
      <c r="J77" s="8"/>
      <c r="K77" s="8"/>
      <c r="L77" s="6" t="str">
        <f>IF(B86="",L76,B86)</f>
        <v>인게임기능</v>
      </c>
    </row>
    <row r="78" spans="2:12" ht="12.75" customHeight="1">
      <c r="B78" s="50"/>
      <c r="C78" s="49"/>
      <c r="D78" s="49"/>
      <c r="E78" s="36" t="s">
        <v>282</v>
      </c>
      <c r="F78" s="42"/>
      <c r="G78" s="42" t="s">
        <v>283</v>
      </c>
      <c r="H78" s="44" t="s">
        <v>284</v>
      </c>
      <c r="I78" s="3" t="s">
        <v>32</v>
      </c>
      <c r="J78" s="8"/>
      <c r="K78" s="8"/>
      <c r="L78" s="6" t="str">
        <f>IF(B87="",L77,B87)</f>
        <v>인게임기능</v>
      </c>
    </row>
    <row r="79" spans="2:12" ht="12.75" customHeight="1">
      <c r="B79" s="50"/>
      <c r="C79" s="49"/>
      <c r="D79" s="49"/>
      <c r="E79" s="36" t="s">
        <v>285</v>
      </c>
      <c r="F79" s="42"/>
      <c r="G79" s="42" t="s">
        <v>286</v>
      </c>
      <c r="H79" s="44" t="s">
        <v>287</v>
      </c>
      <c r="I79" s="3" t="s">
        <v>120</v>
      </c>
      <c r="J79" s="45" t="s">
        <v>288</v>
      </c>
      <c r="K79" s="8"/>
      <c r="L79" s="6" t="str">
        <f>IF(B88="",L78,B88)</f>
        <v>인게임기능</v>
      </c>
    </row>
    <row r="80" spans="2:12" ht="12.75" customHeight="1">
      <c r="B80" s="50"/>
      <c r="C80" s="80" t="s">
        <v>289</v>
      </c>
      <c r="D80" s="57" t="s">
        <v>290</v>
      </c>
      <c r="E80" s="24" t="s">
        <v>291</v>
      </c>
      <c r="F80" s="39"/>
      <c r="G80" s="29" t="s">
        <v>292</v>
      </c>
      <c r="H80" s="29" t="s">
        <v>293</v>
      </c>
      <c r="I80" s="3" t="s">
        <v>32</v>
      </c>
      <c r="J80" s="8"/>
      <c r="K80" s="8"/>
      <c r="L80" s="6" t="str">
        <f>IF(B89="",L79,B89)</f>
        <v>인게임기능</v>
      </c>
    </row>
    <row r="81" spans="2:12" ht="12.75" customHeight="1">
      <c r="B81" s="50"/>
      <c r="C81" s="67"/>
      <c r="D81" s="56"/>
      <c r="E81" s="64" t="s">
        <v>294</v>
      </c>
      <c r="F81" s="50"/>
      <c r="G81" s="29" t="s">
        <v>295</v>
      </c>
      <c r="H81" s="42" t="s">
        <v>296</v>
      </c>
      <c r="I81" s="3" t="s">
        <v>32</v>
      </c>
      <c r="J81" s="8"/>
      <c r="K81" s="8"/>
      <c r="L81" s="6" t="str">
        <f>IF(B90="",L80,B90)</f>
        <v>인게임기능</v>
      </c>
    </row>
    <row r="82" spans="2:12" ht="12.75" customHeight="1">
      <c r="B82" s="50"/>
      <c r="C82" s="67"/>
      <c r="D82" s="58"/>
      <c r="E82" s="36" t="s">
        <v>297</v>
      </c>
      <c r="F82" s="28" t="s">
        <v>187</v>
      </c>
      <c r="G82" s="42" t="s">
        <v>298</v>
      </c>
      <c r="H82" s="42" t="s">
        <v>296</v>
      </c>
      <c r="I82" s="3" t="s">
        <v>32</v>
      </c>
      <c r="J82" s="8"/>
      <c r="K82" s="8"/>
      <c r="L82" s="6" t="str">
        <f>IF(B91="",L81,B91)</f>
        <v>인게임기능</v>
      </c>
    </row>
    <row r="83" spans="2:12" ht="12.75" customHeight="1">
      <c r="B83" s="50"/>
      <c r="C83" s="67"/>
      <c r="D83" s="49"/>
      <c r="E83" s="36" t="s">
        <v>299</v>
      </c>
      <c r="F83" s="28" t="s">
        <v>300</v>
      </c>
      <c r="G83" s="42" t="s">
        <v>301</v>
      </c>
      <c r="H83" s="42" t="s">
        <v>302</v>
      </c>
      <c r="I83" s="3" t="s">
        <v>32</v>
      </c>
      <c r="K83" s="8"/>
      <c r="L83" s="6" t="str">
        <f>IF(B92="",L82,B92)</f>
        <v>인게임기능</v>
      </c>
    </row>
    <row r="84" spans="2:12" ht="12.75" customHeight="1">
      <c r="B84" s="50"/>
      <c r="C84" s="55"/>
      <c r="D84" s="57" t="s">
        <v>303</v>
      </c>
      <c r="E84" s="36" t="s">
        <v>304</v>
      </c>
      <c r="F84" s="42" t="s">
        <v>305</v>
      </c>
      <c r="G84" s="42" t="s">
        <v>306</v>
      </c>
      <c r="H84" s="42" t="s">
        <v>307</v>
      </c>
      <c r="I84" s="3" t="s">
        <v>32</v>
      </c>
      <c r="J84" s="8"/>
      <c r="K84" s="63"/>
      <c r="L84" s="6" t="str">
        <f>IF(B93="",L83,B93)</f>
        <v>인게임기능</v>
      </c>
    </row>
    <row r="85" spans="2:12" ht="12.75" customHeight="1">
      <c r="B85" s="53"/>
      <c r="C85" s="56"/>
      <c r="D85" s="56"/>
      <c r="E85" s="36" t="s">
        <v>308</v>
      </c>
      <c r="F85" s="60" t="s">
        <v>309</v>
      </c>
      <c r="G85" s="42" t="s">
        <v>310</v>
      </c>
      <c r="H85" s="60" t="s">
        <v>311</v>
      </c>
      <c r="I85" s="3" t="s">
        <v>32</v>
      </c>
      <c r="J85" s="8"/>
      <c r="K85" s="50"/>
      <c r="L85" s="6" t="str">
        <f>IF(B94="",L84,B94)</f>
        <v>인게임기능</v>
      </c>
    </row>
    <row r="86" spans="2:12" ht="12.75" customHeight="1">
      <c r="B86" s="38"/>
      <c r="C86" s="56"/>
      <c r="D86" s="56"/>
      <c r="E86" s="73" t="s">
        <v>312</v>
      </c>
      <c r="F86" s="42" t="s">
        <v>313</v>
      </c>
      <c r="G86" s="61" t="s">
        <v>314</v>
      </c>
      <c r="H86" s="50" t="s">
        <v>315</v>
      </c>
      <c r="I86" s="37" t="s">
        <v>32</v>
      </c>
      <c r="J86" s="63"/>
      <c r="K86" s="63"/>
      <c r="L86" s="6" t="str">
        <f>IF(B95="",L85,B95)</f>
        <v>인게임기능</v>
      </c>
    </row>
    <row r="87" spans="2:12" ht="12.75" customHeight="1">
      <c r="B87" s="38"/>
      <c r="C87" s="58"/>
      <c r="D87" s="69"/>
      <c r="E87" s="74"/>
      <c r="F87" s="54"/>
      <c r="G87" s="38"/>
      <c r="H87" s="59"/>
      <c r="I87" s="30"/>
      <c r="J87" s="50"/>
      <c r="K87" s="50"/>
      <c r="L87" s="6" t="str">
        <f>IF(B96="",L86,B96)</f>
        <v>인게임기능</v>
      </c>
    </row>
    <row r="88" spans="2:12" ht="12.75" customHeight="1">
      <c r="B88" s="38"/>
      <c r="C88" s="81" t="s">
        <v>316</v>
      </c>
      <c r="D88" s="75" t="s">
        <v>317</v>
      </c>
      <c r="E88" s="44" t="s">
        <v>318</v>
      </c>
      <c r="F88" s="78"/>
      <c r="G88" s="62" t="s">
        <v>319</v>
      </c>
      <c r="H88" s="50" t="s">
        <v>320</v>
      </c>
      <c r="I88" s="37" t="s">
        <v>32</v>
      </c>
      <c r="J88" s="8"/>
      <c r="K88" s="8"/>
      <c r="L88" s="6" t="str">
        <f>IF(B97="",L87,B97)</f>
        <v>인게임기능</v>
      </c>
    </row>
    <row r="89" spans="2:12" ht="12.75" customHeight="1">
      <c r="B89" s="38"/>
      <c r="C89" s="22"/>
      <c r="D89" s="53"/>
      <c r="E89" s="76" t="s">
        <v>321</v>
      </c>
      <c r="F89" s="50" t="s">
        <v>322</v>
      </c>
      <c r="G89" s="56" t="s">
        <v>323</v>
      </c>
      <c r="H89" s="50" t="s">
        <v>324</v>
      </c>
      <c r="I89" s="37" t="s">
        <v>32</v>
      </c>
      <c r="J89" s="8"/>
      <c r="K89" s="8"/>
      <c r="L89" s="6" t="str">
        <f>IF(B98="",L88,B98)</f>
        <v>인게임기능</v>
      </c>
    </row>
    <row r="90" spans="2:12" ht="12.75" customHeight="1">
      <c r="B90" s="38"/>
      <c r="C90" s="22"/>
      <c r="D90" s="38"/>
      <c r="E90" s="44" t="s">
        <v>325</v>
      </c>
      <c r="F90" s="50" t="s">
        <v>322</v>
      </c>
      <c r="G90" s="50" t="s">
        <v>326</v>
      </c>
      <c r="H90" s="53" t="s">
        <v>327</v>
      </c>
      <c r="I90" s="37" t="s">
        <v>32</v>
      </c>
      <c r="K90" s="8"/>
      <c r="L90" s="6" t="str">
        <f>IF(B99="",L89,B99)</f>
        <v>인게임기능</v>
      </c>
    </row>
    <row r="91" spans="2:12" ht="12.75" customHeight="1">
      <c r="B91" s="38"/>
      <c r="C91" s="22"/>
      <c r="D91" s="59"/>
      <c r="E91" s="77" t="s">
        <v>328</v>
      </c>
      <c r="F91" s="50" t="s">
        <v>322</v>
      </c>
      <c r="G91" s="62" t="s">
        <v>329</v>
      </c>
      <c r="H91" s="42" t="s">
        <v>330</v>
      </c>
      <c r="I91" s="37" t="s">
        <v>32</v>
      </c>
      <c r="J91" s="8"/>
      <c r="K91" s="63"/>
      <c r="L91" s="6" t="str">
        <f>IF(B100="",L90,B100)</f>
        <v>인게임기능</v>
      </c>
    </row>
    <row r="92" spans="2:12" ht="12.75" customHeight="1">
      <c r="B92" s="38"/>
      <c r="C92" s="82"/>
      <c r="D92" s="39"/>
      <c r="E92" s="62" t="s">
        <v>331</v>
      </c>
      <c r="F92" s="50" t="s">
        <v>322</v>
      </c>
      <c r="G92" s="50" t="s">
        <v>332</v>
      </c>
      <c r="H92" s="29" t="s">
        <v>333</v>
      </c>
      <c r="I92" s="37" t="s">
        <v>32</v>
      </c>
      <c r="J92" s="8"/>
      <c r="K92" s="50"/>
      <c r="L92" s="6" t="str">
        <f>IF(B101="",L91,B101)</f>
        <v>인게임기능</v>
      </c>
    </row>
    <row r="93" spans="2:2" ht="12.75" customHeight="1">
      <c r="B93" s="38"/>
    </row>
    <row r="94" spans="2:2" ht="12.75" customHeight="1">
      <c r="B94" s="38"/>
    </row>
    <row r="95" spans="2:2" ht="12.75" customHeight="1">
      <c r="B95" s="38"/>
    </row>
    <row r="96" spans="2:2" ht="12.75" customHeight="1">
      <c r="B96" s="38"/>
    </row>
    <row r="97" spans="2:2" ht="12.75" customHeight="1">
      <c r="B97" s="39"/>
    </row>
    <row r="98" spans="2:2" ht="12.75" customHeight="1">
      <c r="B98" s="74"/>
    </row>
    <row r="99" spans="2:2" ht="12.75" customHeight="1">
      <c r="B99" s="38"/>
    </row>
    <row r="100" spans="2:2" ht="12.75" customHeight="1">
      <c r="B100" s="38"/>
    </row>
    <row r="101" spans="2:2" ht="12.75" customHeight="1">
      <c r="B101" s="39"/>
    </row>
  </sheetData>
  <mergeCells count="34">
    <mergeCell ref="B2:B7"/>
    <mergeCell ref="K2:K7"/>
    <mergeCell ref="D3:D4"/>
    <mergeCell ref="C3:C7"/>
    <mergeCell ref="D5:D6"/>
    <mergeCell ref="B8:B30"/>
    <mergeCell ref="C8:C37"/>
    <mergeCell ref="D14:D18"/>
    <mergeCell ref="D19:D21"/>
    <mergeCell ref="D22:D24"/>
    <mergeCell ref="D25:D28"/>
    <mergeCell ref="D30:D31"/>
    <mergeCell ref="D32:D33"/>
    <mergeCell ref="D34:D35"/>
    <mergeCell ref="D36:D37"/>
    <mergeCell ref="D38:D40"/>
    <mergeCell ref="C38:C57"/>
    <mergeCell ref="D41:D45"/>
    <mergeCell ref="D47:D51"/>
    <mergeCell ref="B47:B101"/>
    <mergeCell ref="D52:D53"/>
    <mergeCell ref="D54:D57"/>
    <mergeCell ref="D58:D62"/>
    <mergeCell ref="C58:C79"/>
    <mergeCell ref="D63:D65"/>
    <mergeCell ref="D66:D67"/>
    <mergeCell ref="D68:D70"/>
    <mergeCell ref="D71:D75"/>
    <mergeCell ref="D76:D79"/>
    <mergeCell ref="D80:D83"/>
    <mergeCell ref="C80:C87"/>
    <mergeCell ref="D84:D87"/>
    <mergeCell ref="C88:C92"/>
    <mergeCell ref="D88:D92"/>
  </mergeCells>
  <conditionalFormatting sqref="I33">
    <cfRule type="containsText" dxfId="0" priority="1" operator="containsText" text="N/T">
      <formula>NOT(ISERROR(SEARCH("N/T", I32)))</formula>
    </cfRule>
  </conditionalFormatting>
  <conditionalFormatting sqref="I33">
    <cfRule type="containsText" dxfId="1" priority="2" operator="containsText" text="N/A">
      <formula>NOT(ISERROR(SEARCH("N/A", I32)))</formula>
    </cfRule>
  </conditionalFormatting>
  <conditionalFormatting sqref="I33">
    <cfRule type="containsText" dxfId="2" priority="3" operator="containsText" text="Block">
      <formula>NOT(ISERROR(SEARCH("Block", I32)))</formula>
    </cfRule>
  </conditionalFormatting>
  <conditionalFormatting sqref="I33">
    <cfRule type="containsText" dxfId="3" priority="4" operator="containsText" text="Fail">
      <formula>NOT(ISERROR(SEARCH("Fail", I32)))</formula>
    </cfRule>
  </conditionalFormatting>
  <conditionalFormatting sqref="I33">
    <cfRule type="containsText" dxfId="4" priority="5" operator="containsText" text="Pass">
      <formula>NOT(ISERROR(SEARCH("Pass", I32)))</formula>
    </cfRule>
  </conditionalFormatting>
  <conditionalFormatting sqref="I33">
    <cfRule type="containsBlanks" dxfId="5" priority="6">
      <formula>LEN(TRIM(I32))=0</formula>
    </cfRule>
  </conditionalFormatting>
  <conditionalFormatting sqref="I30">
    <cfRule type="containsText" dxfId="6" priority="7" operator="containsText" text="N/T">
      <formula>NOT(ISERROR(SEARCH("N/T", I26)))</formula>
    </cfRule>
  </conditionalFormatting>
  <conditionalFormatting sqref="I30">
    <cfRule type="containsBlanks" dxfId="7" priority="8">
      <formula>LEN(TRIM(I26))=0</formula>
    </cfRule>
  </conditionalFormatting>
  <conditionalFormatting sqref="I30">
    <cfRule type="containsText" dxfId="8" priority="9" operator="containsText" text="Pass">
      <formula>NOT(ISERROR(SEARCH("Pass", I26)))</formula>
    </cfRule>
  </conditionalFormatting>
  <conditionalFormatting sqref="I30">
    <cfRule type="containsText" dxfId="9" priority="10" operator="containsText" text="Fail">
      <formula>NOT(ISERROR(SEARCH("Fail", I26)))</formula>
    </cfRule>
  </conditionalFormatting>
  <conditionalFormatting sqref="I30">
    <cfRule type="containsText" dxfId="10" priority="11" operator="containsText" text="Block">
      <formula>NOT(ISERROR(SEARCH("Block", I26)))</formula>
    </cfRule>
  </conditionalFormatting>
  <conditionalFormatting sqref="I30">
    <cfRule type="containsText" dxfId="11" priority="12" operator="containsText" text="N/A">
      <formula>NOT(ISERROR(SEARCH("N/A", I26)))</formula>
    </cfRule>
  </conditionalFormatting>
  <conditionalFormatting sqref="I32">
    <cfRule type="containsText" dxfId="12" priority="13" operator="containsText" text="Pass">
      <formula>NOT(ISERROR(SEARCH("Pass", I31)))</formula>
    </cfRule>
  </conditionalFormatting>
  <conditionalFormatting sqref="I32">
    <cfRule type="containsText" dxfId="13" priority="14" operator="containsText" text="Fail">
      <formula>NOT(ISERROR(SEARCH("Fail", I31)))</formula>
    </cfRule>
  </conditionalFormatting>
  <conditionalFormatting sqref="I32">
    <cfRule type="containsText" dxfId="14" priority="15" operator="containsText" text="Block">
      <formula>NOT(ISERROR(SEARCH("Block", I31)))</formula>
    </cfRule>
  </conditionalFormatting>
  <conditionalFormatting sqref="I32">
    <cfRule type="containsText" dxfId="15" priority="16" operator="containsText" text="N/A">
      <formula>NOT(ISERROR(SEARCH("N/A", I31)))</formula>
    </cfRule>
  </conditionalFormatting>
  <conditionalFormatting sqref="I32">
    <cfRule type="containsText" dxfId="16" priority="17" operator="containsText" text="N/T">
      <formula>NOT(ISERROR(SEARCH("N/T", I31)))</formula>
    </cfRule>
  </conditionalFormatting>
  <conditionalFormatting sqref="I32">
    <cfRule type="containsBlanks" dxfId="17" priority="18">
      <formula>LEN(TRIM(I31))=0</formula>
    </cfRule>
  </conditionalFormatting>
  <conditionalFormatting sqref="I31">
    <cfRule type="containsText" dxfId="18" priority="19" operator="containsText" text="N/T">
      <formula>NOT(ISERROR(SEARCH("N/T", I26)))</formula>
    </cfRule>
  </conditionalFormatting>
  <conditionalFormatting sqref="I31">
    <cfRule type="containsBlanks" dxfId="19" priority="20">
      <formula>LEN(TRIM(I26))=0</formula>
    </cfRule>
  </conditionalFormatting>
  <conditionalFormatting sqref="I31">
    <cfRule type="containsText" dxfId="20" priority="21" operator="containsText" text="Pass">
      <formula>NOT(ISERROR(SEARCH("Pass", I26)))</formula>
    </cfRule>
  </conditionalFormatting>
  <conditionalFormatting sqref="I31">
    <cfRule type="containsText" dxfId="21" priority="22" operator="containsText" text="Fail">
      <formula>NOT(ISERROR(SEARCH("Fail", I26)))</formula>
    </cfRule>
  </conditionalFormatting>
  <conditionalFormatting sqref="I31">
    <cfRule type="containsText" dxfId="22" priority="23" operator="containsText" text="Block">
      <formula>NOT(ISERROR(SEARCH("Block", I26)))</formula>
    </cfRule>
  </conditionalFormatting>
  <conditionalFormatting sqref="I31">
    <cfRule type="containsText" dxfId="23" priority="24" operator="containsText" text="N/A">
      <formula>NOT(ISERROR(SEARCH("N/A", I26)))</formula>
    </cfRule>
  </conditionalFormatting>
  <conditionalFormatting sqref="I21">
    <cfRule type="containsBlanks" dxfId="24" priority="25">
      <formula>LEN(TRIM(I10))=0</formula>
    </cfRule>
  </conditionalFormatting>
  <conditionalFormatting sqref="I21">
    <cfRule type="containsText" dxfId="25" priority="26" operator="containsText" text="Pass">
      <formula>NOT(ISERROR(SEARCH("Pass", I17)))</formula>
    </cfRule>
  </conditionalFormatting>
  <conditionalFormatting sqref="I21">
    <cfRule type="containsText" dxfId="26" priority="27" operator="containsText" text="Fail">
      <formula>NOT(ISERROR(SEARCH("Fail", I17)))</formula>
    </cfRule>
  </conditionalFormatting>
  <conditionalFormatting sqref="I21">
    <cfRule type="containsText" dxfId="27" priority="28" operator="containsText" text="Block">
      <formula>NOT(ISERROR(SEARCH("Block", I17)))</formula>
    </cfRule>
  </conditionalFormatting>
  <conditionalFormatting sqref="I21">
    <cfRule type="containsText" dxfId="28" priority="29" operator="containsText" text="N/A">
      <formula>NOT(ISERROR(SEARCH("N/A", I17)))</formula>
    </cfRule>
  </conditionalFormatting>
  <conditionalFormatting sqref="I21">
    <cfRule type="containsText" dxfId="29" priority="30" operator="containsText" text="N/T">
      <formula>NOT(ISERROR(SEARCH("N/T", I10)))</formula>
    </cfRule>
  </conditionalFormatting>
  <conditionalFormatting sqref="I20">
    <cfRule type="containsText" dxfId="30" priority="31" operator="containsText" text="N/A">
      <formula>NOT(ISERROR(SEARCH("N/A", I16)))</formula>
    </cfRule>
  </conditionalFormatting>
  <conditionalFormatting sqref="I20">
    <cfRule type="containsText" dxfId="31" priority="32" operator="containsText" text="Block">
      <formula>NOT(ISERROR(SEARCH("Block", I16)))</formula>
    </cfRule>
  </conditionalFormatting>
  <conditionalFormatting sqref="I20">
    <cfRule type="containsText" dxfId="32" priority="33" operator="containsText" text="Fail">
      <formula>NOT(ISERROR(SEARCH("Fail", I16)))</formula>
    </cfRule>
  </conditionalFormatting>
  <conditionalFormatting sqref="I20">
    <cfRule type="containsText" dxfId="33" priority="34" operator="containsText" text="Pass">
      <formula>NOT(ISERROR(SEARCH("Pass", I16)))</formula>
    </cfRule>
  </conditionalFormatting>
  <conditionalFormatting sqref="I20">
    <cfRule type="containsBlanks" dxfId="34" priority="35">
      <formula>LEN(TRIM(I9))=0</formula>
    </cfRule>
  </conditionalFormatting>
  <conditionalFormatting sqref="I20">
    <cfRule type="containsText" dxfId="35" priority="36" operator="containsText" text="N/T">
      <formula>NOT(ISERROR(SEARCH("N/T", I9)))</formula>
    </cfRule>
  </conditionalFormatting>
  <conditionalFormatting sqref="I19">
    <cfRule type="containsBlanks" dxfId="36" priority="37">
      <formula>LEN(TRIM(I8))=0</formula>
    </cfRule>
  </conditionalFormatting>
  <conditionalFormatting sqref="I19">
    <cfRule type="containsText" dxfId="37" priority="38" operator="containsText" text="Pass">
      <formula>NOT(ISERROR(SEARCH("Pass", I15)))</formula>
    </cfRule>
  </conditionalFormatting>
  <conditionalFormatting sqref="I19">
    <cfRule type="containsText" dxfId="38" priority="39" operator="containsText" text="Fail">
      <formula>NOT(ISERROR(SEARCH("Fail", I15)))</formula>
    </cfRule>
  </conditionalFormatting>
  <conditionalFormatting sqref="I19">
    <cfRule type="containsText" dxfId="39" priority="40" operator="containsText" text="Block">
      <formula>NOT(ISERROR(SEARCH("Block", I15)))</formula>
    </cfRule>
  </conditionalFormatting>
  <conditionalFormatting sqref="I19">
    <cfRule type="containsText" dxfId="40" priority="41" operator="containsText" text="N/A">
      <formula>NOT(ISERROR(SEARCH("N/A", I15)))</formula>
    </cfRule>
  </conditionalFormatting>
  <conditionalFormatting sqref="I19">
    <cfRule type="containsText" dxfId="41" priority="42" operator="containsText" text="N/T">
      <formula>NOT(ISERROR(SEARCH("N/T", I8)))</formula>
    </cfRule>
  </conditionalFormatting>
  <conditionalFormatting sqref="I18">
    <cfRule type="containsText" dxfId="42" priority="43" operator="containsText" text="N/A">
      <formula>NOT(ISERROR(SEARCH("N/A", I14)))</formula>
    </cfRule>
  </conditionalFormatting>
  <conditionalFormatting sqref="I18">
    <cfRule type="containsText" dxfId="43" priority="44" operator="containsText" text="Block">
      <formula>NOT(ISERROR(SEARCH("Block", I14)))</formula>
    </cfRule>
  </conditionalFormatting>
  <conditionalFormatting sqref="I18">
    <cfRule type="containsText" dxfId="44" priority="45" operator="containsText" text="Fail">
      <formula>NOT(ISERROR(SEARCH("Fail", I14)))</formula>
    </cfRule>
  </conditionalFormatting>
  <conditionalFormatting sqref="I18">
    <cfRule type="containsText" dxfId="45" priority="46" operator="containsText" text="Pass">
      <formula>NOT(ISERROR(SEARCH("Pass", I14)))</formula>
    </cfRule>
  </conditionalFormatting>
  <conditionalFormatting sqref="I18">
    <cfRule type="containsBlanks" dxfId="46" priority="47">
      <formula>LEN(TRIM(I7))=0</formula>
    </cfRule>
  </conditionalFormatting>
  <conditionalFormatting sqref="I18">
    <cfRule type="containsText" dxfId="47" priority="48" operator="containsText" text="N/T">
      <formula>NOT(ISERROR(SEARCH("N/T", I7)))</formula>
    </cfRule>
  </conditionalFormatting>
  <conditionalFormatting sqref="I17">
    <cfRule type="containsBlanks" dxfId="48" priority="49">
      <formula>LEN(TRIM(I6))=0</formula>
    </cfRule>
  </conditionalFormatting>
  <conditionalFormatting sqref="I17">
    <cfRule type="containsText" dxfId="49" priority="50" operator="containsText" text="Pass">
      <formula>NOT(ISERROR(SEARCH("Pass", I13)))</formula>
    </cfRule>
  </conditionalFormatting>
  <conditionalFormatting sqref="I17">
    <cfRule type="containsText" dxfId="50" priority="51" operator="containsText" text="Fail">
      <formula>NOT(ISERROR(SEARCH("Fail", I13)))</formula>
    </cfRule>
  </conditionalFormatting>
  <conditionalFormatting sqref="I17">
    <cfRule type="containsText" dxfId="51" priority="52" operator="containsText" text="Block">
      <formula>NOT(ISERROR(SEARCH("Block", I13)))</formula>
    </cfRule>
  </conditionalFormatting>
  <conditionalFormatting sqref="I17">
    <cfRule type="containsText" dxfId="52" priority="53" operator="containsText" text="N/A">
      <formula>NOT(ISERROR(SEARCH("N/A", I13)))</formula>
    </cfRule>
  </conditionalFormatting>
  <conditionalFormatting sqref="I17">
    <cfRule type="containsText" dxfId="53" priority="54" operator="containsText" text="N/T">
      <formula>NOT(ISERROR(SEARCH("N/T", I6)))</formula>
    </cfRule>
  </conditionalFormatting>
  <conditionalFormatting sqref="I16">
    <cfRule type="containsText" dxfId="54" priority="55" operator="containsText" text="N/A">
      <formula>NOT(ISERROR(SEARCH("N/A", I12)))</formula>
    </cfRule>
  </conditionalFormatting>
  <conditionalFormatting sqref="I16">
    <cfRule type="containsText" dxfId="55" priority="56" operator="containsText" text="Block">
      <formula>NOT(ISERROR(SEARCH("Block", I12)))</formula>
    </cfRule>
  </conditionalFormatting>
  <conditionalFormatting sqref="I16">
    <cfRule type="containsText" dxfId="56" priority="57" operator="containsText" text="Fail">
      <formula>NOT(ISERROR(SEARCH("Fail", I12)))</formula>
    </cfRule>
  </conditionalFormatting>
  <conditionalFormatting sqref="I16">
    <cfRule type="containsText" dxfId="57" priority="58" operator="containsText" text="Pass">
      <formula>NOT(ISERROR(SEARCH("Pass", I12)))</formula>
    </cfRule>
  </conditionalFormatting>
  <conditionalFormatting sqref="I16">
    <cfRule type="containsBlanks" dxfId="58" priority="59">
      <formula>LEN(TRIM(I5))=0</formula>
    </cfRule>
  </conditionalFormatting>
  <conditionalFormatting sqref="I16">
    <cfRule type="containsText" dxfId="59" priority="60" operator="containsText" text="N/T">
      <formula>NOT(ISERROR(SEARCH("N/T", I5)))</formula>
    </cfRule>
  </conditionalFormatting>
  <conditionalFormatting sqref="I15">
    <cfRule type="containsBlanks" dxfId="60" priority="61">
      <formula>LEN(TRIM(I4))=0</formula>
    </cfRule>
  </conditionalFormatting>
  <conditionalFormatting sqref="I15">
    <cfRule type="containsText" dxfId="61" priority="62" operator="containsText" text="Pass">
      <formula>NOT(ISERROR(SEARCH("Pass", I11)))</formula>
    </cfRule>
  </conditionalFormatting>
  <conditionalFormatting sqref="I15">
    <cfRule type="containsText" dxfId="62" priority="63" operator="containsText" text="Fail">
      <formula>NOT(ISERROR(SEARCH("Fail", I11)))</formula>
    </cfRule>
  </conditionalFormatting>
  <conditionalFormatting sqref="I15">
    <cfRule type="containsText" dxfId="63" priority="64" operator="containsText" text="Block">
      <formula>NOT(ISERROR(SEARCH("Block", I11)))</formula>
    </cfRule>
  </conditionalFormatting>
  <conditionalFormatting sqref="I15">
    <cfRule type="containsText" dxfId="64" priority="65" operator="containsText" text="N/A">
      <formula>NOT(ISERROR(SEARCH("N/A", I11)))</formula>
    </cfRule>
  </conditionalFormatting>
  <conditionalFormatting sqref="I15">
    <cfRule type="containsText" dxfId="65" priority="66" operator="containsText" text="N/T">
      <formula>NOT(ISERROR(SEARCH("N/T", I4)))</formula>
    </cfRule>
  </conditionalFormatting>
  <conditionalFormatting sqref="I14">
    <cfRule type="containsText" dxfId="66" priority="67" operator="containsText" text="N/A">
      <formula>NOT(ISERROR(SEARCH("N/A", I10)))</formula>
    </cfRule>
  </conditionalFormatting>
  <conditionalFormatting sqref="I14">
    <cfRule type="containsText" dxfId="67" priority="68" operator="containsText" text="Block">
      <formula>NOT(ISERROR(SEARCH("Block", I10)))</formula>
    </cfRule>
  </conditionalFormatting>
  <conditionalFormatting sqref="I14">
    <cfRule type="containsText" dxfId="68" priority="69" operator="containsText" text="Fail">
      <formula>NOT(ISERROR(SEARCH("Fail", I10)))</formula>
    </cfRule>
  </conditionalFormatting>
  <conditionalFormatting sqref="I14">
    <cfRule type="containsText" dxfId="69" priority="70" operator="containsText" text="Pass">
      <formula>NOT(ISERROR(SEARCH("Pass", I10)))</formula>
    </cfRule>
  </conditionalFormatting>
  <conditionalFormatting sqref="I14">
    <cfRule type="containsBlanks" dxfId="70" priority="71">
      <formula>LEN(TRIM(I3))=0</formula>
    </cfRule>
  </conditionalFormatting>
  <conditionalFormatting sqref="I14">
    <cfRule type="containsText" dxfId="71" priority="72" operator="containsText" text="N/T">
      <formula>NOT(ISERROR(SEARCH("N/T", I3)))</formula>
    </cfRule>
  </conditionalFormatting>
  <conditionalFormatting sqref="I91">
    <cfRule type="containsText" dxfId="72" priority="73" operator="containsText" text="Pass">
      <formula>NOT(ISERROR(SEARCH("Pass", I79)))</formula>
    </cfRule>
  </conditionalFormatting>
  <conditionalFormatting sqref="I91">
    <cfRule type="containsBlanks" dxfId="73" priority="74">
      <formula>LEN(TRIM(I79))=0</formula>
    </cfRule>
  </conditionalFormatting>
  <conditionalFormatting sqref="I91">
    <cfRule type="containsText" dxfId="74" priority="75" operator="containsText" text="N/T">
      <formula>NOT(ISERROR(SEARCH("N/T", I79)))</formula>
    </cfRule>
  </conditionalFormatting>
  <conditionalFormatting sqref="I91">
    <cfRule type="containsText" dxfId="75" priority="76" operator="containsText" text="N/A">
      <formula>NOT(ISERROR(SEARCH("N/A", I79)))</formula>
    </cfRule>
  </conditionalFormatting>
  <conditionalFormatting sqref="I91">
    <cfRule type="containsText" dxfId="76" priority="77" operator="containsText" text="Block">
      <formula>NOT(ISERROR(SEARCH("Block", I79)))</formula>
    </cfRule>
  </conditionalFormatting>
  <conditionalFormatting sqref="I91">
    <cfRule type="containsText" dxfId="77" priority="78" operator="containsText" text="Fail">
      <formula>NOT(ISERROR(SEARCH("Fail", I79)))</formula>
    </cfRule>
  </conditionalFormatting>
  <conditionalFormatting sqref="I92">
    <cfRule type="containsText" dxfId="78" priority="79" operator="containsText" text="Pass">
      <formula>NOT(ISERROR(SEARCH("Pass", I80)))</formula>
    </cfRule>
  </conditionalFormatting>
  <conditionalFormatting sqref="I92">
    <cfRule type="containsBlanks" dxfId="79" priority="80">
      <formula>LEN(TRIM(I80))=0</formula>
    </cfRule>
  </conditionalFormatting>
  <conditionalFormatting sqref="I92">
    <cfRule type="containsText" dxfId="80" priority="81" operator="containsText" text="N/T">
      <formula>NOT(ISERROR(SEARCH("N/T", I80)))</formula>
    </cfRule>
  </conditionalFormatting>
  <conditionalFormatting sqref="I92">
    <cfRule type="containsText" dxfId="81" priority="82" operator="containsText" text="N/A">
      <formula>NOT(ISERROR(SEARCH("N/A", I80)))</formula>
    </cfRule>
  </conditionalFormatting>
  <conditionalFormatting sqref="I92">
    <cfRule type="containsText" dxfId="82" priority="83" operator="containsText" text="Block">
      <formula>NOT(ISERROR(SEARCH("Block", I80)))</formula>
    </cfRule>
  </conditionalFormatting>
  <conditionalFormatting sqref="I92">
    <cfRule type="containsText" dxfId="83" priority="84" operator="containsText" text="Fail">
      <formula>NOT(ISERROR(SEARCH("Fail", I80)))</formula>
    </cfRule>
  </conditionalFormatting>
  <conditionalFormatting sqref="I90">
    <cfRule type="containsText" dxfId="84" priority="85" operator="containsText" text="Pass">
      <formula>NOT(ISERROR(SEARCH("Pass", I78)))</formula>
    </cfRule>
  </conditionalFormatting>
  <conditionalFormatting sqref="I90">
    <cfRule type="containsBlanks" dxfId="85" priority="86">
      <formula>LEN(TRIM(I78))=0</formula>
    </cfRule>
  </conditionalFormatting>
  <conditionalFormatting sqref="I90">
    <cfRule type="containsText" dxfId="86" priority="87" operator="containsText" text="N/T">
      <formula>NOT(ISERROR(SEARCH("N/T", I78)))</formula>
    </cfRule>
  </conditionalFormatting>
  <conditionalFormatting sqref="I90">
    <cfRule type="containsText" dxfId="87" priority="88" operator="containsText" text="N/A">
      <formula>NOT(ISERROR(SEARCH("N/A", I78)))</formula>
    </cfRule>
  </conditionalFormatting>
  <conditionalFormatting sqref="I90">
    <cfRule type="containsText" dxfId="88" priority="89" operator="containsText" text="Block">
      <formula>NOT(ISERROR(SEARCH("Block", I78)))</formula>
    </cfRule>
  </conditionalFormatting>
  <conditionalFormatting sqref="I90">
    <cfRule type="containsText" dxfId="89" priority="90" operator="containsText" text="Fail">
      <formula>NOT(ISERROR(SEARCH("Fail", I78)))</formula>
    </cfRule>
  </conditionalFormatting>
  <conditionalFormatting sqref="I89">
    <cfRule type="containsText" dxfId="90" priority="91" operator="containsText" text="Pass">
      <formula>NOT(ISERROR(SEARCH("Pass", I77)))</formula>
    </cfRule>
  </conditionalFormatting>
  <conditionalFormatting sqref="I89">
    <cfRule type="containsBlanks" dxfId="91" priority="92">
      <formula>LEN(TRIM(I77))=0</formula>
    </cfRule>
  </conditionalFormatting>
  <conditionalFormatting sqref="I89">
    <cfRule type="containsText" dxfId="92" priority="93" operator="containsText" text="N/T">
      <formula>NOT(ISERROR(SEARCH("N/T", I77)))</formula>
    </cfRule>
  </conditionalFormatting>
  <conditionalFormatting sqref="I89">
    <cfRule type="containsText" dxfId="93" priority="94" operator="containsText" text="N/A">
      <formula>NOT(ISERROR(SEARCH("N/A", I77)))</formula>
    </cfRule>
  </conditionalFormatting>
  <conditionalFormatting sqref="I89">
    <cfRule type="containsText" dxfId="94" priority="95" operator="containsText" text="Block">
      <formula>NOT(ISERROR(SEARCH("Block", I77)))</formula>
    </cfRule>
  </conditionalFormatting>
  <conditionalFormatting sqref="I89">
    <cfRule type="containsText" dxfId="95" priority="96" operator="containsText" text="Fail">
      <formula>NOT(ISERROR(SEARCH("Fail", I77)))</formula>
    </cfRule>
  </conditionalFormatting>
  <conditionalFormatting sqref="I88">
    <cfRule type="containsText" dxfId="96" priority="97" operator="containsText" text="Block">
      <formula>NOT(ISERROR(SEARCH("Block", I76)))</formula>
    </cfRule>
  </conditionalFormatting>
  <conditionalFormatting sqref="I88">
    <cfRule type="containsText" dxfId="97" priority="98" operator="containsText" text="N/A">
      <formula>NOT(ISERROR(SEARCH("N/A", I76)))</formula>
    </cfRule>
  </conditionalFormatting>
  <conditionalFormatting sqref="I88">
    <cfRule type="containsText" dxfId="98" priority="99" operator="containsText" text="N/T">
      <formula>NOT(ISERROR(SEARCH("N/T", I76)))</formula>
    </cfRule>
  </conditionalFormatting>
  <conditionalFormatting sqref="I88">
    <cfRule type="containsBlanks" dxfId="99" priority="100">
      <formula>LEN(TRIM(I76))=0</formula>
    </cfRule>
  </conditionalFormatting>
  <conditionalFormatting sqref="I88">
    <cfRule type="containsText" dxfId="100" priority="101" operator="containsText" text="Pass">
      <formula>NOT(ISERROR(SEARCH("Pass", I76)))</formula>
    </cfRule>
  </conditionalFormatting>
  <conditionalFormatting sqref="I88">
    <cfRule type="containsText" dxfId="101" priority="102" operator="containsText" text="Fail">
      <formula>NOT(ISERROR(SEARCH("Fail", I76)))</formula>
    </cfRule>
  </conditionalFormatting>
  <conditionalFormatting sqref="I45">
    <cfRule type="containsText" dxfId="102" priority="103" operator="containsText" text="Block">
      <formula>NOT(ISERROR(SEARCH("Block", I33)))</formula>
    </cfRule>
  </conditionalFormatting>
  <conditionalFormatting sqref="I45">
    <cfRule type="containsText" dxfId="103" priority="104" operator="containsText" text="Fail">
      <formula>NOT(ISERROR(SEARCH("Fail", I33)))</formula>
    </cfRule>
  </conditionalFormatting>
  <conditionalFormatting sqref="I45">
    <cfRule type="containsText" dxfId="104" priority="105" operator="containsText" text="Pass">
      <formula>NOT(ISERROR(SEARCH("Pass", I33)))</formula>
    </cfRule>
  </conditionalFormatting>
  <conditionalFormatting sqref="I45">
    <cfRule type="containsBlanks" dxfId="105" priority="106">
      <formula>LEN(TRIM(I33))=0</formula>
    </cfRule>
  </conditionalFormatting>
  <conditionalFormatting sqref="I45">
    <cfRule type="containsText" dxfId="106" priority="107" operator="containsText" text="N/T">
      <formula>NOT(ISERROR(SEARCH("N/T", I33)))</formula>
    </cfRule>
  </conditionalFormatting>
  <conditionalFormatting sqref="I45">
    <cfRule type="containsText" dxfId="107" priority="108" operator="containsText" text="N/A">
      <formula>NOT(ISERROR(SEARCH("N/A", I33)))</formula>
    </cfRule>
  </conditionalFormatting>
  <conditionalFormatting sqref="I44">
    <cfRule type="containsText" dxfId="108" priority="109" operator="containsText" text="N/T">
      <formula>NOT(ISERROR(SEARCH("N/T", I32)))</formula>
    </cfRule>
  </conditionalFormatting>
  <conditionalFormatting sqref="I44">
    <cfRule type="containsBlanks" dxfId="109" priority="110">
      <formula>LEN(TRIM(I32))=0</formula>
    </cfRule>
  </conditionalFormatting>
  <conditionalFormatting sqref="I44">
    <cfRule type="containsText" dxfId="110" priority="111" operator="containsText" text="Pass">
      <formula>NOT(ISERROR(SEARCH("Pass", I32)))</formula>
    </cfRule>
  </conditionalFormatting>
  <conditionalFormatting sqref="I44">
    <cfRule type="containsText" dxfId="111" priority="112" operator="containsText" text="Fail">
      <formula>NOT(ISERROR(SEARCH("Fail", I32)))</formula>
    </cfRule>
  </conditionalFormatting>
  <conditionalFormatting sqref="I44">
    <cfRule type="containsText" dxfId="112" priority="113" operator="containsText" text="Block">
      <formula>NOT(ISERROR(SEARCH("Block", I32)))</formula>
    </cfRule>
  </conditionalFormatting>
  <conditionalFormatting sqref="I44">
    <cfRule type="containsText" dxfId="113" priority="114" operator="containsText" text="N/A">
      <formula>NOT(ISERROR(SEARCH("N/A", I32)))</formula>
    </cfRule>
  </conditionalFormatting>
  <conditionalFormatting sqref="I40">
    <cfRule type="containsText" dxfId="114" priority="115" operator="containsText" text="Block">
      <formula>NOT(ISERROR(SEARCH("Block", I28)))</formula>
    </cfRule>
  </conditionalFormatting>
  <conditionalFormatting sqref="I40">
    <cfRule type="containsText" dxfId="115" priority="116" operator="containsText" text="Fail">
      <formula>NOT(ISERROR(SEARCH("Fail", I28)))</formula>
    </cfRule>
  </conditionalFormatting>
  <conditionalFormatting sqref="I40">
    <cfRule type="containsText" dxfId="116" priority="117" operator="containsText" text="Pass">
      <formula>NOT(ISERROR(SEARCH("Pass", I28)))</formula>
    </cfRule>
  </conditionalFormatting>
  <conditionalFormatting sqref="I40">
    <cfRule type="containsBlanks" dxfId="117" priority="118">
      <formula>LEN(TRIM(I28))=0</formula>
    </cfRule>
  </conditionalFormatting>
  <conditionalFormatting sqref="I40">
    <cfRule type="containsText" dxfId="118" priority="119" operator="containsText" text="N/T">
      <formula>NOT(ISERROR(SEARCH("N/T", I28)))</formula>
    </cfRule>
  </conditionalFormatting>
  <conditionalFormatting sqref="I40">
    <cfRule type="containsText" dxfId="119" priority="120" operator="containsText" text="N/A">
      <formula>NOT(ISERROR(SEARCH("N/A", I28)))</formula>
    </cfRule>
  </conditionalFormatting>
  <conditionalFormatting sqref="I72">
    <cfRule type="containsText" dxfId="120" priority="121" operator="containsText" text="Pass">
      <formula>NOT(ISERROR(SEARCH("Pass", I60)))</formula>
    </cfRule>
  </conditionalFormatting>
  <conditionalFormatting sqref="I72">
    <cfRule type="containsText" dxfId="121" priority="122" operator="containsText" text="Fail">
      <formula>NOT(ISERROR(SEARCH("Fail", I60)))</formula>
    </cfRule>
  </conditionalFormatting>
  <conditionalFormatting sqref="I72">
    <cfRule type="containsText" dxfId="122" priority="123" operator="containsText" text="Block">
      <formula>NOT(ISERROR(SEARCH("Block", I60)))</formula>
    </cfRule>
  </conditionalFormatting>
  <conditionalFormatting sqref="I72">
    <cfRule type="containsText" dxfId="123" priority="124" operator="containsText" text="N/A">
      <formula>NOT(ISERROR(SEARCH("N/A", I60)))</formula>
    </cfRule>
  </conditionalFormatting>
  <conditionalFormatting sqref="I72">
    <cfRule type="containsText" dxfId="124" priority="125" operator="containsText" text="N/T">
      <formula>NOT(ISERROR(SEARCH("N/T", I60)))</formula>
    </cfRule>
  </conditionalFormatting>
  <conditionalFormatting sqref="I72">
    <cfRule type="containsBlanks" dxfId="125" priority="126">
      <formula>LEN(TRIM(I60))=0</formula>
    </cfRule>
  </conditionalFormatting>
  <conditionalFormatting sqref="I81">
    <cfRule type="containsText" dxfId="126" priority="127" operator="containsText" text="Block">
      <formula>NOT(ISERROR(SEARCH("Block", I69)))</formula>
    </cfRule>
  </conditionalFormatting>
  <conditionalFormatting sqref="I81">
    <cfRule type="containsText" dxfId="127" priority="128" operator="containsText" text="N/A">
      <formula>NOT(ISERROR(SEARCH("N/A", I69)))</formula>
    </cfRule>
  </conditionalFormatting>
  <conditionalFormatting sqref="I81">
    <cfRule type="containsText" dxfId="128" priority="129" operator="containsText" text="N/T">
      <formula>NOT(ISERROR(SEARCH("N/T", I69)))</formula>
    </cfRule>
  </conditionalFormatting>
  <conditionalFormatting sqref="I81">
    <cfRule type="containsBlanks" dxfId="129" priority="130">
      <formula>LEN(TRIM(I69))=0</formula>
    </cfRule>
  </conditionalFormatting>
  <conditionalFormatting sqref="I81">
    <cfRule type="containsText" dxfId="130" priority="131" operator="containsText" text="Pass">
      <formula>NOT(ISERROR(SEARCH("Pass", I69)))</formula>
    </cfRule>
  </conditionalFormatting>
  <conditionalFormatting sqref="I81">
    <cfRule type="containsText" dxfId="131" priority="132" operator="containsText" text="Fail">
      <formula>NOT(ISERROR(SEARCH("Fail", I69)))</formula>
    </cfRule>
  </conditionalFormatting>
  <conditionalFormatting sqref="I83">
    <cfRule type="containsText" dxfId="132" priority="133" operator="containsText" text="Pass">
      <formula>NOT(ISERROR(SEARCH("Pass", I71)))</formula>
    </cfRule>
  </conditionalFormatting>
  <conditionalFormatting sqref="I83">
    <cfRule type="containsBlanks" dxfId="133" priority="134">
      <formula>LEN(TRIM(I71))=0</formula>
    </cfRule>
  </conditionalFormatting>
  <conditionalFormatting sqref="I83">
    <cfRule type="containsText" dxfId="134" priority="135" operator="containsText" text="N/T">
      <formula>NOT(ISERROR(SEARCH("N/T", I71)))</formula>
    </cfRule>
  </conditionalFormatting>
  <conditionalFormatting sqref="I83">
    <cfRule type="containsText" dxfId="135" priority="136" operator="containsText" text="N/A">
      <formula>NOT(ISERROR(SEARCH("N/A", I71)))</formula>
    </cfRule>
  </conditionalFormatting>
  <conditionalFormatting sqref="I83">
    <cfRule type="containsText" dxfId="136" priority="137" operator="containsText" text="Block">
      <formula>NOT(ISERROR(SEARCH("Block", I71)))</formula>
    </cfRule>
  </conditionalFormatting>
  <conditionalFormatting sqref="I83">
    <cfRule type="containsText" dxfId="137" priority="138" operator="containsText" text="Fail">
      <formula>NOT(ISERROR(SEARCH("Fail", I71)))</formula>
    </cfRule>
  </conditionalFormatting>
  <conditionalFormatting sqref="I68">
    <cfRule type="containsText" dxfId="138" priority="139" operator="containsText" text="Pass">
      <formula>NOT(ISERROR(SEARCH("Pass", I56)))</formula>
    </cfRule>
  </conditionalFormatting>
  <conditionalFormatting sqref="I68">
    <cfRule type="containsBlanks" dxfId="139" priority="140">
      <formula>LEN(TRIM(I56))=0</formula>
    </cfRule>
  </conditionalFormatting>
  <conditionalFormatting sqref="I68">
    <cfRule type="containsText" dxfId="140" priority="141" operator="containsText" text="N/T">
      <formula>NOT(ISERROR(SEARCH("N/T", I56)))</formula>
    </cfRule>
  </conditionalFormatting>
  <conditionalFormatting sqref="I68">
    <cfRule type="containsText" dxfId="141" priority="142" operator="containsText" text="N/A">
      <formula>NOT(ISERROR(SEARCH("N/A", I56)))</formula>
    </cfRule>
  </conditionalFormatting>
  <conditionalFormatting sqref="I68">
    <cfRule type="containsText" dxfId="142" priority="143" operator="containsText" text="Block">
      <formula>NOT(ISERROR(SEARCH("Block", I56)))</formula>
    </cfRule>
  </conditionalFormatting>
  <conditionalFormatting sqref="I68">
    <cfRule type="containsText" dxfId="143" priority="144" operator="containsText" text="Fail">
      <formula>NOT(ISERROR(SEARCH("Fail", I56)))</formula>
    </cfRule>
  </conditionalFormatting>
  <conditionalFormatting sqref="I87">
    <cfRule type="containsText" dxfId="144" priority="145" operator="containsText" text="N/T">
      <formula>NOT(ISERROR(SEARCH("N/T", I75)))</formula>
    </cfRule>
  </conditionalFormatting>
  <conditionalFormatting sqref="I87">
    <cfRule type="containsText" dxfId="145" priority="146" operator="containsText" text="N/A">
      <formula>NOT(ISERROR(SEARCH("N/A", I75)))</formula>
    </cfRule>
  </conditionalFormatting>
  <conditionalFormatting sqref="I87">
    <cfRule type="containsText" dxfId="146" priority="147" operator="containsText" text="Block">
      <formula>NOT(ISERROR(SEARCH("Block", I75)))</formula>
    </cfRule>
  </conditionalFormatting>
  <conditionalFormatting sqref="I87">
    <cfRule type="containsText" dxfId="147" priority="148" operator="containsText" text="Fail">
      <formula>NOT(ISERROR(SEARCH("Fail", I75)))</formula>
    </cfRule>
  </conditionalFormatting>
  <conditionalFormatting sqref="I87">
    <cfRule type="containsText" dxfId="148" priority="149" operator="containsText" text="Pass">
      <formula>NOT(ISERROR(SEARCH("Pass", I75)))</formula>
    </cfRule>
  </conditionalFormatting>
  <conditionalFormatting sqref="I87">
    <cfRule type="containsBlanks" dxfId="149" priority="150">
      <formula>LEN(TRIM(I75))=0</formula>
    </cfRule>
  </conditionalFormatting>
  <conditionalFormatting sqref="Q45">
    <cfRule type="containsText" dxfId="150" priority="151" operator="containsText" text="Block">
      <formula>NOT(ISERROR(SEARCH("Block", Q45)))</formula>
    </cfRule>
  </conditionalFormatting>
  <conditionalFormatting sqref="Q45">
    <cfRule type="containsText" dxfId="151" priority="152" operator="containsText" text="N/A">
      <formula>NOT(ISERROR(SEARCH("N/A", Q45)))</formula>
    </cfRule>
  </conditionalFormatting>
  <conditionalFormatting sqref="Q45">
    <cfRule type="containsText" dxfId="152" priority="153" operator="containsText" text="N/T">
      <formula>NOT(ISERROR(SEARCH("N/T", Q45)))</formula>
    </cfRule>
  </conditionalFormatting>
  <conditionalFormatting sqref="Q45">
    <cfRule type="containsBlanks" dxfId="153" priority="154">
      <formula>LEN(TRIM(Q45))=0</formula>
    </cfRule>
  </conditionalFormatting>
  <conditionalFormatting sqref="Q45">
    <cfRule type="containsText" dxfId="154" priority="155" operator="containsText" text="Pass">
      <formula>NOT(ISERROR(SEARCH("Pass", Q45)))</formula>
    </cfRule>
  </conditionalFormatting>
  <conditionalFormatting sqref="Q45">
    <cfRule type="containsText" dxfId="155" priority="156" operator="containsText" text="Fail">
      <formula>NOT(ISERROR(SEARCH("Fail", Q45)))</formula>
    </cfRule>
  </conditionalFormatting>
  <conditionalFormatting sqref="I86">
    <cfRule type="containsText" dxfId="156" priority="157" operator="containsText" text="Pass">
      <formula>NOT(ISERROR(SEARCH("Pass", I74)))</formula>
    </cfRule>
  </conditionalFormatting>
  <conditionalFormatting sqref="I86">
    <cfRule type="containsBlanks" dxfId="157" priority="158">
      <formula>LEN(TRIM(I74))=0</formula>
    </cfRule>
  </conditionalFormatting>
  <conditionalFormatting sqref="I86">
    <cfRule type="containsText" dxfId="158" priority="159" operator="containsText" text="N/T">
      <formula>NOT(ISERROR(SEARCH("N/T", I74)))</formula>
    </cfRule>
  </conditionalFormatting>
  <conditionalFormatting sqref="I86">
    <cfRule type="containsText" dxfId="159" priority="160" operator="containsText" text="N/A">
      <formula>NOT(ISERROR(SEARCH("N/A", I74)))</formula>
    </cfRule>
  </conditionalFormatting>
  <conditionalFormatting sqref="I86">
    <cfRule type="containsText" dxfId="160" priority="161" operator="containsText" text="Block">
      <formula>NOT(ISERROR(SEARCH("Block", I74)))</formula>
    </cfRule>
  </conditionalFormatting>
  <conditionalFormatting sqref="I86">
    <cfRule type="containsText" dxfId="161" priority="162" operator="containsText" text="Fail">
      <formula>NOT(ISERROR(SEARCH("Fail", I74)))</formula>
    </cfRule>
  </conditionalFormatting>
  <conditionalFormatting sqref="I84">
    <cfRule type="containsText" dxfId="162" priority="163" operator="containsText" text="Pass">
      <formula>NOT(ISERROR(SEARCH("Pass", I72)))</formula>
    </cfRule>
  </conditionalFormatting>
  <conditionalFormatting sqref="I84">
    <cfRule type="containsBlanks" dxfId="163" priority="164">
      <formula>LEN(TRIM(I72))=0</formula>
    </cfRule>
  </conditionalFormatting>
  <conditionalFormatting sqref="I84">
    <cfRule type="containsText" dxfId="164" priority="165" operator="containsText" text="N/T">
      <formula>NOT(ISERROR(SEARCH("N/T", I72)))</formula>
    </cfRule>
  </conditionalFormatting>
  <conditionalFormatting sqref="I84">
    <cfRule type="containsText" dxfId="165" priority="166" operator="containsText" text="N/A">
      <formula>NOT(ISERROR(SEARCH("N/A", I72)))</formula>
    </cfRule>
  </conditionalFormatting>
  <conditionalFormatting sqref="I84">
    <cfRule type="containsText" dxfId="166" priority="167" operator="containsText" text="Block">
      <formula>NOT(ISERROR(SEARCH("Block", I72)))</formula>
    </cfRule>
  </conditionalFormatting>
  <conditionalFormatting sqref="I84">
    <cfRule type="containsText" dxfId="167" priority="168" operator="containsText" text="Fail">
      <formula>NOT(ISERROR(SEARCH("Fail", I72)))</formula>
    </cfRule>
  </conditionalFormatting>
  <conditionalFormatting sqref="I85">
    <cfRule type="containsText" dxfId="168" priority="169" operator="containsText" text="Block">
      <formula>NOT(ISERROR(SEARCH("Block", I73)))</formula>
    </cfRule>
  </conditionalFormatting>
  <conditionalFormatting sqref="I85">
    <cfRule type="containsText" dxfId="169" priority="170" operator="containsText" text="N/A">
      <formula>NOT(ISERROR(SEARCH("N/A", I73)))</formula>
    </cfRule>
  </conditionalFormatting>
  <conditionalFormatting sqref="I85">
    <cfRule type="containsText" dxfId="170" priority="171" operator="containsText" text="N/T">
      <formula>NOT(ISERROR(SEARCH("N/T", I73)))</formula>
    </cfRule>
  </conditionalFormatting>
  <conditionalFormatting sqref="I85">
    <cfRule type="containsBlanks" dxfId="171" priority="172">
      <formula>LEN(TRIM(I73))=0</formula>
    </cfRule>
  </conditionalFormatting>
  <conditionalFormatting sqref="I85">
    <cfRule type="containsText" dxfId="172" priority="173" operator="containsText" text="Pass">
      <formula>NOT(ISERROR(SEARCH("Pass", I73)))</formula>
    </cfRule>
  </conditionalFormatting>
  <conditionalFormatting sqref="I85">
    <cfRule type="containsText" dxfId="173" priority="174" operator="containsText" text="Fail">
      <formula>NOT(ISERROR(SEARCH("Fail", I73)))</formula>
    </cfRule>
  </conditionalFormatting>
  <conditionalFormatting sqref="I75">
    <cfRule type="containsText" dxfId="174" priority="175" operator="containsText" text="Block">
      <formula>NOT(ISERROR(SEARCH("Block", I63)))</formula>
    </cfRule>
  </conditionalFormatting>
  <conditionalFormatting sqref="I75">
    <cfRule type="containsText" dxfId="175" priority="176" operator="containsText" text="N/A">
      <formula>NOT(ISERROR(SEARCH("N/A", I63)))</formula>
    </cfRule>
  </conditionalFormatting>
  <conditionalFormatting sqref="I75">
    <cfRule type="containsText" dxfId="176" priority="177" operator="containsText" text="N/T">
      <formula>NOT(ISERROR(SEARCH("N/T", I63)))</formula>
    </cfRule>
  </conditionalFormatting>
  <conditionalFormatting sqref="I75">
    <cfRule type="containsBlanks" dxfId="177" priority="178">
      <formula>LEN(TRIM(I63))=0</formula>
    </cfRule>
  </conditionalFormatting>
  <conditionalFormatting sqref="I75">
    <cfRule type="containsText" dxfId="178" priority="179" operator="containsText" text="Pass">
      <formula>NOT(ISERROR(SEARCH("Pass", I63)))</formula>
    </cfRule>
  </conditionalFormatting>
  <conditionalFormatting sqref="I75">
    <cfRule type="containsText" dxfId="179" priority="180" operator="containsText" text="Fail">
      <formula>NOT(ISERROR(SEARCH("Fail", I63)))</formula>
    </cfRule>
  </conditionalFormatting>
  <conditionalFormatting sqref="I82">
    <cfRule type="containsText" dxfId="180" priority="181" operator="containsText" text="Block">
      <formula>NOT(ISERROR(SEARCH("Block", I70)))</formula>
    </cfRule>
  </conditionalFormatting>
  <conditionalFormatting sqref="I82">
    <cfRule type="containsText" dxfId="181" priority="182" operator="containsText" text="N/A">
      <formula>NOT(ISERROR(SEARCH("N/A", I70)))</formula>
    </cfRule>
  </conditionalFormatting>
  <conditionalFormatting sqref="I82">
    <cfRule type="containsText" dxfId="182" priority="183" operator="containsText" text="N/T">
      <formula>NOT(ISERROR(SEARCH("N/T", I70)))</formula>
    </cfRule>
  </conditionalFormatting>
  <conditionalFormatting sqref="I82">
    <cfRule type="containsBlanks" dxfId="183" priority="184">
      <formula>LEN(TRIM(I70))=0</formula>
    </cfRule>
  </conditionalFormatting>
  <conditionalFormatting sqref="I82">
    <cfRule type="containsText" dxfId="184" priority="185" operator="containsText" text="Pass">
      <formula>NOT(ISERROR(SEARCH("Pass", I70)))</formula>
    </cfRule>
  </conditionalFormatting>
  <conditionalFormatting sqref="I82">
    <cfRule type="containsText" dxfId="185" priority="186" operator="containsText" text="Fail">
      <formula>NOT(ISERROR(SEARCH("Fail", I70)))</formula>
    </cfRule>
  </conditionalFormatting>
  <conditionalFormatting sqref="Q40">
    <cfRule type="containsBlanks" dxfId="186" priority="187">
      <formula>LEN(TRIM(Q40))=0</formula>
    </cfRule>
  </conditionalFormatting>
  <conditionalFormatting sqref="Q40">
    <cfRule type="containsText" dxfId="187" priority="188" operator="containsText" text="Pass">
      <formula>NOT(ISERROR(SEARCH("Pass", Q40)))</formula>
    </cfRule>
  </conditionalFormatting>
  <conditionalFormatting sqref="Q40">
    <cfRule type="containsText" dxfId="188" priority="189" operator="containsText" text="Fail">
      <formula>NOT(ISERROR(SEARCH("Fail", Q40)))</formula>
    </cfRule>
  </conditionalFormatting>
  <conditionalFormatting sqref="Q40">
    <cfRule type="containsText" dxfId="189" priority="190" operator="containsText" text="Block">
      <formula>NOT(ISERROR(SEARCH("Block", Q40)))</formula>
    </cfRule>
  </conditionalFormatting>
  <conditionalFormatting sqref="Q40">
    <cfRule type="containsText" dxfId="190" priority="191" operator="containsText" text="N/A">
      <formula>NOT(ISERROR(SEARCH("N/A", Q40)))</formula>
    </cfRule>
  </conditionalFormatting>
  <conditionalFormatting sqref="Q40">
    <cfRule type="containsText" dxfId="191" priority="192" operator="containsText" text="N/T">
      <formula>NOT(ISERROR(SEARCH("N/T", Q40)))</formula>
    </cfRule>
  </conditionalFormatting>
  <conditionalFormatting sqref="I80">
    <cfRule type="containsText" dxfId="192" priority="193" operator="containsText" text="Pass">
      <formula>NOT(ISERROR(SEARCH("Pass", I68)))</formula>
    </cfRule>
  </conditionalFormatting>
  <conditionalFormatting sqref="I80">
    <cfRule type="containsBlanks" dxfId="193" priority="194">
      <formula>LEN(TRIM(I68))=0</formula>
    </cfRule>
  </conditionalFormatting>
  <conditionalFormatting sqref="I80">
    <cfRule type="containsText" dxfId="194" priority="195" operator="containsText" text="N/T">
      <formula>NOT(ISERROR(SEARCH("N/T", I68)))</formula>
    </cfRule>
  </conditionalFormatting>
  <conditionalFormatting sqref="I80">
    <cfRule type="containsText" dxfId="195" priority="196" operator="containsText" text="N/A">
      <formula>NOT(ISERROR(SEARCH("N/A", I68)))</formula>
    </cfRule>
  </conditionalFormatting>
  <conditionalFormatting sqref="I80">
    <cfRule type="containsText" dxfId="196" priority="197" operator="containsText" text="Block">
      <formula>NOT(ISERROR(SEARCH("Block", I68)))</formula>
    </cfRule>
  </conditionalFormatting>
  <conditionalFormatting sqref="I80">
    <cfRule type="containsText" dxfId="197" priority="198" operator="containsText" text="Fail">
      <formula>NOT(ISERROR(SEARCH("Fail", I68)))</formula>
    </cfRule>
  </conditionalFormatting>
  <conditionalFormatting sqref="I79">
    <cfRule type="containsText" dxfId="198" priority="199" operator="containsText" text="N/T">
      <formula>NOT(ISERROR(SEARCH("N/T", I67)))</formula>
    </cfRule>
  </conditionalFormatting>
  <conditionalFormatting sqref="I79">
    <cfRule type="containsText" dxfId="199" priority="200" operator="containsText" text="N/A">
      <formula>NOT(ISERROR(SEARCH("N/A", I67)))</formula>
    </cfRule>
  </conditionalFormatting>
  <conditionalFormatting sqref="I79">
    <cfRule type="containsText" dxfId="200" priority="201" operator="containsText" text="Block">
      <formula>NOT(ISERROR(SEARCH("Block", I67)))</formula>
    </cfRule>
  </conditionalFormatting>
  <conditionalFormatting sqref="I79">
    <cfRule type="containsText" dxfId="201" priority="202" operator="containsText" text="Fail">
      <formula>NOT(ISERROR(SEARCH("Fail", I67)))</formula>
    </cfRule>
  </conditionalFormatting>
  <conditionalFormatting sqref="I79">
    <cfRule type="containsText" dxfId="202" priority="203" operator="containsText" text="Pass">
      <formula>NOT(ISERROR(SEARCH("Pass", I67)))</formula>
    </cfRule>
  </conditionalFormatting>
  <conditionalFormatting sqref="I79">
    <cfRule type="containsBlanks" dxfId="203" priority="204">
      <formula>LEN(TRIM(I67))=0</formula>
    </cfRule>
  </conditionalFormatting>
  <conditionalFormatting sqref="I62">
    <cfRule type="containsText" dxfId="204" priority="205" operator="containsText" text="N/A">
      <formula>NOT(ISERROR(SEARCH("N/A", I50)))</formula>
    </cfRule>
  </conditionalFormatting>
  <conditionalFormatting sqref="I62">
    <cfRule type="containsText" dxfId="205" priority="206" operator="containsText" text="N/T">
      <formula>NOT(ISERROR(SEARCH("N/T", I50)))</formula>
    </cfRule>
  </conditionalFormatting>
  <conditionalFormatting sqref="I62">
    <cfRule type="containsBlanks" dxfId="206" priority="207">
      <formula>LEN(TRIM(I50))=0</formula>
    </cfRule>
  </conditionalFormatting>
  <conditionalFormatting sqref="I62">
    <cfRule type="containsText" dxfId="207" priority="208" operator="containsText" text="Pass">
      <formula>NOT(ISERROR(SEARCH("Pass", I50)))</formula>
    </cfRule>
  </conditionalFormatting>
  <conditionalFormatting sqref="I62">
    <cfRule type="containsText" dxfId="208" priority="209" operator="containsText" text="Fail">
      <formula>NOT(ISERROR(SEARCH("Fail", I50)))</formula>
    </cfRule>
  </conditionalFormatting>
  <conditionalFormatting sqref="I62">
    <cfRule type="containsText" dxfId="209" priority="210" operator="containsText" text="Block">
      <formula>NOT(ISERROR(SEARCH("Block", I50)))</formula>
    </cfRule>
  </conditionalFormatting>
  <conditionalFormatting sqref="I74">
    <cfRule type="containsText" dxfId="210" priority="211" operator="containsText" text="Pass">
      <formula>NOT(ISERROR(SEARCH("Pass", I62)))</formula>
    </cfRule>
  </conditionalFormatting>
  <conditionalFormatting sqref="I74">
    <cfRule type="containsBlanks" dxfId="211" priority="212">
      <formula>LEN(TRIM(I62))=0</formula>
    </cfRule>
  </conditionalFormatting>
  <conditionalFormatting sqref="I74">
    <cfRule type="containsText" dxfId="212" priority="213" operator="containsText" text="N/T">
      <formula>NOT(ISERROR(SEARCH("N/T", I62)))</formula>
    </cfRule>
  </conditionalFormatting>
  <conditionalFormatting sqref="I74">
    <cfRule type="containsText" dxfId="213" priority="214" operator="containsText" text="N/A">
      <formula>NOT(ISERROR(SEARCH("N/A", I62)))</formula>
    </cfRule>
  </conditionalFormatting>
  <conditionalFormatting sqref="I74">
    <cfRule type="containsText" dxfId="214" priority="215" operator="containsText" text="Block">
      <formula>NOT(ISERROR(SEARCH("Block", I62)))</formula>
    </cfRule>
  </conditionalFormatting>
  <conditionalFormatting sqref="I74">
    <cfRule type="containsText" dxfId="215" priority="216" operator="containsText" text="Fail">
      <formula>NOT(ISERROR(SEARCH("Fail", I62)))</formula>
    </cfRule>
  </conditionalFormatting>
  <conditionalFormatting sqref="I70">
    <cfRule type="containsText" dxfId="216" priority="217" operator="containsText" text="Pass">
      <formula>NOT(ISERROR(SEARCH("Pass", I58)))</formula>
    </cfRule>
  </conditionalFormatting>
  <conditionalFormatting sqref="I70">
    <cfRule type="containsBlanks" dxfId="217" priority="218">
      <formula>LEN(TRIM(I58))=0</formula>
    </cfRule>
  </conditionalFormatting>
  <conditionalFormatting sqref="I70">
    <cfRule type="containsText" dxfId="218" priority="219" operator="containsText" text="N/T">
      <formula>NOT(ISERROR(SEARCH("N/T", I58)))</formula>
    </cfRule>
  </conditionalFormatting>
  <conditionalFormatting sqref="I70">
    <cfRule type="containsText" dxfId="219" priority="220" operator="containsText" text="N/A">
      <formula>NOT(ISERROR(SEARCH("N/A", I58)))</formula>
    </cfRule>
  </conditionalFormatting>
  <conditionalFormatting sqref="I70">
    <cfRule type="containsText" dxfId="220" priority="221" operator="containsText" text="Block">
      <formula>NOT(ISERROR(SEARCH("Block", I58)))</formula>
    </cfRule>
  </conditionalFormatting>
  <conditionalFormatting sqref="I70">
    <cfRule type="containsText" dxfId="221" priority="222" operator="containsText" text="Fail">
      <formula>NOT(ISERROR(SEARCH("Fail", I58)))</formula>
    </cfRule>
  </conditionalFormatting>
  <conditionalFormatting sqref="I65">
    <cfRule type="containsText" dxfId="222" priority="223" operator="containsText" text="Pass">
      <formula>NOT(ISERROR(SEARCH("Pass", I53)))</formula>
    </cfRule>
  </conditionalFormatting>
  <conditionalFormatting sqref="I65">
    <cfRule type="containsBlanks" dxfId="223" priority="224">
      <formula>LEN(TRIM(I53))=0</formula>
    </cfRule>
  </conditionalFormatting>
  <conditionalFormatting sqref="I65">
    <cfRule type="containsText" dxfId="224" priority="225" operator="containsText" text="N/T">
      <formula>NOT(ISERROR(SEARCH("N/T", I53)))</formula>
    </cfRule>
  </conditionalFormatting>
  <conditionalFormatting sqref="I65">
    <cfRule type="containsText" dxfId="225" priority="226" operator="containsText" text="N/A">
      <formula>NOT(ISERROR(SEARCH("N/A", I53)))</formula>
    </cfRule>
  </conditionalFormatting>
  <conditionalFormatting sqref="I65">
    <cfRule type="containsText" dxfId="226" priority="227" operator="containsText" text="Block">
      <formula>NOT(ISERROR(SEARCH("Block", I53)))</formula>
    </cfRule>
  </conditionalFormatting>
  <conditionalFormatting sqref="I65">
    <cfRule type="containsText" dxfId="227" priority="228" operator="containsText" text="Fail">
      <formula>NOT(ISERROR(SEARCH("Fail", I53)))</formula>
    </cfRule>
  </conditionalFormatting>
  <conditionalFormatting sqref="I78">
    <cfRule type="containsText" dxfId="228" priority="229" operator="containsText" text="Block">
      <formula>NOT(ISERROR(SEARCH("Block", I66)))</formula>
    </cfRule>
  </conditionalFormatting>
  <conditionalFormatting sqref="I78">
    <cfRule type="containsText" dxfId="229" priority="230" operator="containsText" text="N/A">
      <formula>NOT(ISERROR(SEARCH("N/A", I66)))</formula>
    </cfRule>
  </conditionalFormatting>
  <conditionalFormatting sqref="I78">
    <cfRule type="containsText" dxfId="230" priority="231" operator="containsText" text="N/T">
      <formula>NOT(ISERROR(SEARCH("N/T", I66)))</formula>
    </cfRule>
  </conditionalFormatting>
  <conditionalFormatting sqref="I78">
    <cfRule type="containsBlanks" dxfId="231" priority="232">
      <formula>LEN(TRIM(I66))=0</formula>
    </cfRule>
  </conditionalFormatting>
  <conditionalFormatting sqref="I78">
    <cfRule type="containsText" dxfId="232" priority="233" operator="containsText" text="Pass">
      <formula>NOT(ISERROR(SEARCH("Pass", I66)))</formula>
    </cfRule>
  </conditionalFormatting>
  <conditionalFormatting sqref="I78">
    <cfRule type="containsText" dxfId="233" priority="234" operator="containsText" text="Fail">
      <formula>NOT(ISERROR(SEARCH("Fail", I66)))</formula>
    </cfRule>
  </conditionalFormatting>
  <conditionalFormatting sqref="I77">
    <cfRule type="containsText" dxfId="234" priority="235" operator="containsText" text="Pass">
      <formula>NOT(ISERROR(SEARCH("Pass", I65)))</formula>
    </cfRule>
  </conditionalFormatting>
  <conditionalFormatting sqref="I77">
    <cfRule type="containsBlanks" dxfId="235" priority="236">
      <formula>LEN(TRIM(I65))=0</formula>
    </cfRule>
  </conditionalFormatting>
  <conditionalFormatting sqref="I77">
    <cfRule type="containsText" dxfId="236" priority="237" operator="containsText" text="N/T">
      <formula>NOT(ISERROR(SEARCH("N/T", I65)))</formula>
    </cfRule>
  </conditionalFormatting>
  <conditionalFormatting sqref="I77">
    <cfRule type="containsText" dxfId="237" priority="238" operator="containsText" text="N/A">
      <formula>NOT(ISERROR(SEARCH("N/A", I65)))</formula>
    </cfRule>
  </conditionalFormatting>
  <conditionalFormatting sqref="I77">
    <cfRule type="containsText" dxfId="238" priority="239" operator="containsText" text="Block">
      <formula>NOT(ISERROR(SEARCH("Block", I65)))</formula>
    </cfRule>
  </conditionalFormatting>
  <conditionalFormatting sqref="I77">
    <cfRule type="containsText" dxfId="239" priority="240" operator="containsText" text="Fail">
      <formula>NOT(ISERROR(SEARCH("Fail", I65)))</formula>
    </cfRule>
  </conditionalFormatting>
  <conditionalFormatting sqref="I76">
    <cfRule type="containsText" dxfId="240" priority="241" operator="containsText" text="Pass">
      <formula>NOT(ISERROR(SEARCH("Pass", I64)))</formula>
    </cfRule>
  </conditionalFormatting>
  <conditionalFormatting sqref="I76">
    <cfRule type="containsBlanks" dxfId="241" priority="242">
      <formula>LEN(TRIM(I64))=0</formula>
    </cfRule>
  </conditionalFormatting>
  <conditionalFormatting sqref="I76">
    <cfRule type="containsText" dxfId="242" priority="243" operator="containsText" text="N/T">
      <formula>NOT(ISERROR(SEARCH("N/T", I64)))</formula>
    </cfRule>
  </conditionalFormatting>
  <conditionalFormatting sqref="I76">
    <cfRule type="containsText" dxfId="243" priority="244" operator="containsText" text="N/A">
      <formula>NOT(ISERROR(SEARCH("N/A", I64)))</formula>
    </cfRule>
  </conditionalFormatting>
  <conditionalFormatting sqref="I76">
    <cfRule type="containsText" dxfId="244" priority="245" operator="containsText" text="Block">
      <formula>NOT(ISERROR(SEARCH("Block", I64)))</formula>
    </cfRule>
  </conditionalFormatting>
  <conditionalFormatting sqref="I76">
    <cfRule type="containsText" dxfId="245" priority="246" operator="containsText" text="Fail">
      <formula>NOT(ISERROR(SEARCH("Fail", I64)))</formula>
    </cfRule>
  </conditionalFormatting>
  <conditionalFormatting sqref="I73">
    <cfRule type="containsText" dxfId="246" priority="247" operator="containsText" text="Block">
      <formula>NOT(ISERROR(SEARCH("Block", I61)))</formula>
    </cfRule>
  </conditionalFormatting>
  <conditionalFormatting sqref="I73">
    <cfRule type="containsText" dxfId="247" priority="248" operator="containsText" text="N/A">
      <formula>NOT(ISERROR(SEARCH("N/A", I61)))</formula>
    </cfRule>
  </conditionalFormatting>
  <conditionalFormatting sqref="I73">
    <cfRule type="containsText" dxfId="248" priority="249" operator="containsText" text="N/T">
      <formula>NOT(ISERROR(SEARCH("N/T", I61)))</formula>
    </cfRule>
  </conditionalFormatting>
  <conditionalFormatting sqref="I73">
    <cfRule type="containsBlanks" dxfId="249" priority="250">
      <formula>LEN(TRIM(I61))=0</formula>
    </cfRule>
  </conditionalFormatting>
  <conditionalFormatting sqref="I73">
    <cfRule type="containsText" dxfId="250" priority="251" operator="containsText" text="Pass">
      <formula>NOT(ISERROR(SEARCH("Pass", I61)))</formula>
    </cfRule>
  </conditionalFormatting>
  <conditionalFormatting sqref="I73">
    <cfRule type="containsText" dxfId="251" priority="252" operator="containsText" text="Fail">
      <formula>NOT(ISERROR(SEARCH("Fail", I61)))</formula>
    </cfRule>
  </conditionalFormatting>
  <conditionalFormatting sqref="I71">
    <cfRule type="containsText" dxfId="252" priority="253" operator="containsText" text="Pass">
      <formula>NOT(ISERROR(SEARCH("Pass", I59)))</formula>
    </cfRule>
  </conditionalFormatting>
  <conditionalFormatting sqref="I71">
    <cfRule type="containsBlanks" dxfId="253" priority="254">
      <formula>LEN(TRIM(I59))=0</formula>
    </cfRule>
  </conditionalFormatting>
  <conditionalFormatting sqref="I71">
    <cfRule type="containsText" dxfId="254" priority="255" operator="containsText" text="N/T">
      <formula>NOT(ISERROR(SEARCH("N/T", I59)))</formula>
    </cfRule>
  </conditionalFormatting>
  <conditionalFormatting sqref="I71">
    <cfRule type="containsText" dxfId="255" priority="256" operator="containsText" text="N/A">
      <formula>NOT(ISERROR(SEARCH("N/A", I59)))</formula>
    </cfRule>
  </conditionalFormatting>
  <conditionalFormatting sqref="I71">
    <cfRule type="containsText" dxfId="256" priority="257" operator="containsText" text="Block">
      <formula>NOT(ISERROR(SEARCH("Block", I59)))</formula>
    </cfRule>
  </conditionalFormatting>
  <conditionalFormatting sqref="I71">
    <cfRule type="containsText" dxfId="257" priority="258" operator="containsText" text="Fail">
      <formula>NOT(ISERROR(SEARCH("Fail", I59)))</formula>
    </cfRule>
  </conditionalFormatting>
  <conditionalFormatting sqref="I64">
    <cfRule type="containsText" dxfId="258" priority="259" operator="containsText" text="Pass">
      <formula>NOT(ISERROR(SEARCH("Pass", I52)))</formula>
    </cfRule>
  </conditionalFormatting>
  <conditionalFormatting sqref="I64">
    <cfRule type="containsBlanks" dxfId="259" priority="260">
      <formula>LEN(TRIM(I52))=0</formula>
    </cfRule>
  </conditionalFormatting>
  <conditionalFormatting sqref="I64">
    <cfRule type="containsText" dxfId="260" priority="261" operator="containsText" text="N/T">
      <formula>NOT(ISERROR(SEARCH("N/T", I52)))</formula>
    </cfRule>
  </conditionalFormatting>
  <conditionalFormatting sqref="I64">
    <cfRule type="containsText" dxfId="261" priority="262" operator="containsText" text="N/A">
      <formula>NOT(ISERROR(SEARCH("N/A", I52)))</formula>
    </cfRule>
  </conditionalFormatting>
  <conditionalFormatting sqref="I64">
    <cfRule type="containsText" dxfId="262" priority="263" operator="containsText" text="Block">
      <formula>NOT(ISERROR(SEARCH("Block", I52)))</formula>
    </cfRule>
  </conditionalFormatting>
  <conditionalFormatting sqref="I64">
    <cfRule type="containsText" dxfId="263" priority="264" operator="containsText" text="Fail">
      <formula>NOT(ISERROR(SEARCH("Fail", I52)))</formula>
    </cfRule>
  </conditionalFormatting>
  <conditionalFormatting sqref="I69">
    <cfRule type="containsText" dxfId="264" priority="265" operator="containsText" text="Block">
      <formula>NOT(ISERROR(SEARCH("Block", I57)))</formula>
    </cfRule>
  </conditionalFormatting>
  <conditionalFormatting sqref="I69">
    <cfRule type="containsText" dxfId="265" priority="266" operator="containsText" text="N/A">
      <formula>NOT(ISERROR(SEARCH("N/A", I57)))</formula>
    </cfRule>
  </conditionalFormatting>
  <conditionalFormatting sqref="I69">
    <cfRule type="containsText" dxfId="266" priority="267" operator="containsText" text="N/T">
      <formula>NOT(ISERROR(SEARCH("N/T", I57)))</formula>
    </cfRule>
  </conditionalFormatting>
  <conditionalFormatting sqref="I69">
    <cfRule type="containsBlanks" dxfId="267" priority="268">
      <formula>LEN(TRIM(I57))=0</formula>
    </cfRule>
  </conditionalFormatting>
  <conditionalFormatting sqref="I69">
    <cfRule type="containsText" dxfId="268" priority="269" operator="containsText" text="Pass">
      <formula>NOT(ISERROR(SEARCH("Pass", I57)))</formula>
    </cfRule>
  </conditionalFormatting>
  <conditionalFormatting sqref="I69">
    <cfRule type="containsText" dxfId="269" priority="270" operator="containsText" text="Fail">
      <formula>NOT(ISERROR(SEARCH("Fail", I57)))</formula>
    </cfRule>
  </conditionalFormatting>
  <conditionalFormatting sqref="I63">
    <cfRule type="containsText" dxfId="270" priority="271" operator="containsText" text="Block">
      <formula>NOT(ISERROR(SEARCH("Block", I51)))</formula>
    </cfRule>
  </conditionalFormatting>
  <conditionalFormatting sqref="I63">
    <cfRule type="containsText" dxfId="271" priority="272" operator="containsText" text="N/A">
      <formula>NOT(ISERROR(SEARCH("N/A", I51)))</formula>
    </cfRule>
  </conditionalFormatting>
  <conditionalFormatting sqref="I63">
    <cfRule type="containsText" dxfId="272" priority="273" operator="containsText" text="N/T">
      <formula>NOT(ISERROR(SEARCH("N/T", I51)))</formula>
    </cfRule>
  </conditionalFormatting>
  <conditionalFormatting sqref="I63">
    <cfRule type="containsBlanks" dxfId="273" priority="274">
      <formula>LEN(TRIM(I51))=0</formula>
    </cfRule>
  </conditionalFormatting>
  <conditionalFormatting sqref="I63">
    <cfRule type="containsText" dxfId="274" priority="275" operator="containsText" text="Pass">
      <formula>NOT(ISERROR(SEARCH("Pass", I51)))</formula>
    </cfRule>
  </conditionalFormatting>
  <conditionalFormatting sqref="I63">
    <cfRule type="containsText" dxfId="275" priority="276" operator="containsText" text="Fail">
      <formula>NOT(ISERROR(SEARCH("Fail", I51)))</formula>
    </cfRule>
  </conditionalFormatting>
  <conditionalFormatting sqref="I66">
    <cfRule type="containsText" dxfId="276" priority="277" operator="containsText" text="Block">
      <formula>NOT(ISERROR(SEARCH("Block", I54)))</formula>
    </cfRule>
  </conditionalFormatting>
  <conditionalFormatting sqref="I66">
    <cfRule type="containsText" dxfId="277" priority="278" operator="containsText" text="N/A">
      <formula>NOT(ISERROR(SEARCH("N/A", I54)))</formula>
    </cfRule>
  </conditionalFormatting>
  <conditionalFormatting sqref="I66">
    <cfRule type="containsText" dxfId="278" priority="279" operator="containsText" text="N/T">
      <formula>NOT(ISERROR(SEARCH("N/T", I54)))</formula>
    </cfRule>
  </conditionalFormatting>
  <conditionalFormatting sqref="I66">
    <cfRule type="containsBlanks" dxfId="279" priority="280">
      <formula>LEN(TRIM(I54))=0</formula>
    </cfRule>
  </conditionalFormatting>
  <conditionalFormatting sqref="I66">
    <cfRule type="containsText" dxfId="280" priority="281" operator="containsText" text="Pass">
      <formula>NOT(ISERROR(SEARCH("Pass", I54)))</formula>
    </cfRule>
  </conditionalFormatting>
  <conditionalFormatting sqref="I66">
    <cfRule type="containsText" dxfId="281" priority="282" operator="containsText" text="Fail">
      <formula>NOT(ISERROR(SEARCH("Fail", I54)))</formula>
    </cfRule>
  </conditionalFormatting>
  <conditionalFormatting sqref="I67">
    <cfRule type="containsText" dxfId="282" priority="283" operator="containsText" text="Block">
      <formula>NOT(ISERROR(SEARCH("Block", I55)))</formula>
    </cfRule>
  </conditionalFormatting>
  <conditionalFormatting sqref="I67">
    <cfRule type="containsText" dxfId="283" priority="284" operator="containsText" text="N/A">
      <formula>NOT(ISERROR(SEARCH("N/A", I55)))</formula>
    </cfRule>
  </conditionalFormatting>
  <conditionalFormatting sqref="I67">
    <cfRule type="containsText" dxfId="284" priority="285" operator="containsText" text="N/T">
      <formula>NOT(ISERROR(SEARCH("N/T", I55)))</formula>
    </cfRule>
  </conditionalFormatting>
  <conditionalFormatting sqref="I67">
    <cfRule type="containsBlanks" dxfId="285" priority="286">
      <formula>LEN(TRIM(I55))=0</formula>
    </cfRule>
  </conditionalFormatting>
  <conditionalFormatting sqref="I67">
    <cfRule type="containsText" dxfId="286" priority="287" operator="containsText" text="Pass">
      <formula>NOT(ISERROR(SEARCH("Pass", I55)))</formula>
    </cfRule>
  </conditionalFormatting>
  <conditionalFormatting sqref="I67">
    <cfRule type="containsText" dxfId="287" priority="288" operator="containsText" text="Fail">
      <formula>NOT(ISERROR(SEARCH("Fail", I55)))</formula>
    </cfRule>
  </conditionalFormatting>
  <conditionalFormatting sqref="I61">
    <cfRule type="containsText" dxfId="288" priority="289" operator="containsText" text="Fail">
      <formula>NOT(ISERROR(SEARCH("Fail", I49)))</formula>
    </cfRule>
  </conditionalFormatting>
  <conditionalFormatting sqref="I61">
    <cfRule type="containsText" dxfId="289" priority="290" operator="containsText" text="Pass">
      <formula>NOT(ISERROR(SEARCH("Pass", I49)))</formula>
    </cfRule>
  </conditionalFormatting>
  <conditionalFormatting sqref="I61">
    <cfRule type="containsBlanks" dxfId="290" priority="291">
      <formula>LEN(TRIM(I49))=0</formula>
    </cfRule>
  </conditionalFormatting>
  <conditionalFormatting sqref="I61">
    <cfRule type="containsText" dxfId="291" priority="292" operator="containsText" text="N/T">
      <formula>NOT(ISERROR(SEARCH("N/T", I49)))</formula>
    </cfRule>
  </conditionalFormatting>
  <conditionalFormatting sqref="I61">
    <cfRule type="containsText" dxfId="292" priority="293" operator="containsText" text="N/A">
      <formula>NOT(ISERROR(SEARCH("N/A", I49)))</formula>
    </cfRule>
  </conditionalFormatting>
  <conditionalFormatting sqref="I61">
    <cfRule type="containsText" dxfId="293" priority="294" operator="containsText" text="Block">
      <formula>NOT(ISERROR(SEARCH("Block", I49)))</formula>
    </cfRule>
  </conditionalFormatting>
  <conditionalFormatting sqref="I60">
    <cfRule type="containsText" dxfId="294" priority="295" operator="containsText" text="Fail">
      <formula>NOT(ISERROR(SEARCH("Fail", I48)))</formula>
    </cfRule>
  </conditionalFormatting>
  <conditionalFormatting sqref="I60">
    <cfRule type="containsText" dxfId="295" priority="296" operator="containsText" text="Pass">
      <formula>NOT(ISERROR(SEARCH("Pass", I48)))</formula>
    </cfRule>
  </conditionalFormatting>
  <conditionalFormatting sqref="I60">
    <cfRule type="containsBlanks" dxfId="296" priority="297">
      <formula>LEN(TRIM(I48))=0</formula>
    </cfRule>
  </conditionalFormatting>
  <conditionalFormatting sqref="I60">
    <cfRule type="containsText" dxfId="297" priority="298" operator="containsText" text="N/T">
      <formula>NOT(ISERROR(SEARCH("N/T", I48)))</formula>
    </cfRule>
  </conditionalFormatting>
  <conditionalFormatting sqref="I60">
    <cfRule type="containsText" dxfId="298" priority="299" operator="containsText" text="N/A">
      <formula>NOT(ISERROR(SEARCH("N/A", I48)))</formula>
    </cfRule>
  </conditionalFormatting>
  <conditionalFormatting sqref="I60">
    <cfRule type="containsText" dxfId="299" priority="300" operator="containsText" text="Block">
      <formula>NOT(ISERROR(SEARCH("Block", I48)))</formula>
    </cfRule>
  </conditionalFormatting>
  <conditionalFormatting sqref="I59">
    <cfRule type="containsText" dxfId="300" priority="301" operator="containsText" text="N/A">
      <formula>NOT(ISERROR(SEARCH("N/A", I47)))</formula>
    </cfRule>
  </conditionalFormatting>
  <conditionalFormatting sqref="I59">
    <cfRule type="containsText" dxfId="301" priority="302" operator="containsText" text="N/T">
      <formula>NOT(ISERROR(SEARCH("N/T", I47)))</formula>
    </cfRule>
  </conditionalFormatting>
  <conditionalFormatting sqref="I59">
    <cfRule type="containsBlanks" dxfId="302" priority="303">
      <formula>LEN(TRIM(I47))=0</formula>
    </cfRule>
  </conditionalFormatting>
  <conditionalFormatting sqref="I59">
    <cfRule type="containsText" dxfId="303" priority="304" operator="containsText" text="Pass">
      <formula>NOT(ISERROR(SEARCH("Pass", I47)))</formula>
    </cfRule>
  </conditionalFormatting>
  <conditionalFormatting sqref="I59">
    <cfRule type="containsText" dxfId="304" priority="305" operator="containsText" text="Fail">
      <formula>NOT(ISERROR(SEARCH("Fail", I47)))</formula>
    </cfRule>
  </conditionalFormatting>
  <conditionalFormatting sqref="I59">
    <cfRule type="containsText" dxfId="305" priority="306" operator="containsText" text="Block">
      <formula>NOT(ISERROR(SEARCH("Block", I47)))</formula>
    </cfRule>
  </conditionalFormatting>
  <conditionalFormatting sqref="I58">
    <cfRule type="containsText" dxfId="306" priority="307" operator="containsText" text="Fail">
      <formula>NOT(ISERROR(SEARCH("Fail", I46)))</formula>
    </cfRule>
  </conditionalFormatting>
  <conditionalFormatting sqref="I58">
    <cfRule type="containsText" dxfId="307" priority="308" operator="containsText" text="Pass">
      <formula>NOT(ISERROR(SEARCH("Pass", I46)))</formula>
    </cfRule>
  </conditionalFormatting>
  <conditionalFormatting sqref="I58">
    <cfRule type="containsBlanks" dxfId="308" priority="309">
      <formula>LEN(TRIM(I46))=0</formula>
    </cfRule>
  </conditionalFormatting>
  <conditionalFormatting sqref="I58">
    <cfRule type="containsText" dxfId="309" priority="310" operator="containsText" text="N/T">
      <formula>NOT(ISERROR(SEARCH("N/T", I46)))</formula>
    </cfRule>
  </conditionalFormatting>
  <conditionalFormatting sqref="I58">
    <cfRule type="containsText" dxfId="310" priority="311" operator="containsText" text="N/A">
      <formula>NOT(ISERROR(SEARCH("N/A", I46)))</formula>
    </cfRule>
  </conditionalFormatting>
  <conditionalFormatting sqref="I58">
    <cfRule type="containsText" dxfId="311" priority="312" operator="containsText" text="Block">
      <formula>NOT(ISERROR(SEARCH("Block", I46)))</formula>
    </cfRule>
  </conditionalFormatting>
  <conditionalFormatting sqref="I50">
    <cfRule type="containsText" dxfId="312" priority="313" operator="containsText" text="N/A">
      <formula>NOT(ISERROR(SEARCH("N/A", I38)))</formula>
    </cfRule>
  </conditionalFormatting>
  <conditionalFormatting sqref="I50">
    <cfRule type="containsText" dxfId="313" priority="314" operator="containsText" text="Block">
      <formula>NOT(ISERROR(SEARCH("Block", I38)))</formula>
    </cfRule>
  </conditionalFormatting>
  <conditionalFormatting sqref="I50">
    <cfRule type="containsText" dxfId="314" priority="315" operator="containsText" text="Fail">
      <formula>NOT(ISERROR(SEARCH("Fail", I38)))</formula>
    </cfRule>
  </conditionalFormatting>
  <conditionalFormatting sqref="I50">
    <cfRule type="containsText" dxfId="315" priority="316" operator="containsText" text="Pass">
      <formula>NOT(ISERROR(SEARCH("Pass", I38)))</formula>
    </cfRule>
  </conditionalFormatting>
  <conditionalFormatting sqref="I50">
    <cfRule type="containsBlanks" dxfId="316" priority="317">
      <formula>LEN(TRIM(I38))=0</formula>
    </cfRule>
  </conditionalFormatting>
  <conditionalFormatting sqref="I50">
    <cfRule type="containsText" dxfId="317" priority="318" operator="containsText" text="N/T">
      <formula>NOT(ISERROR(SEARCH("N/T", I38)))</formula>
    </cfRule>
  </conditionalFormatting>
  <conditionalFormatting sqref="I51">
    <cfRule type="containsBlanks" dxfId="318" priority="319">
      <formula>LEN(TRIM(I39))=0</formula>
    </cfRule>
  </conditionalFormatting>
  <conditionalFormatting sqref="I51">
    <cfRule type="containsText" dxfId="319" priority="320" operator="containsText" text="Pass">
      <formula>NOT(ISERROR(SEARCH("Pass", I39)))</formula>
    </cfRule>
  </conditionalFormatting>
  <conditionalFormatting sqref="I51">
    <cfRule type="containsText" dxfId="320" priority="321" operator="containsText" text="Fail">
      <formula>NOT(ISERROR(SEARCH("Fail", I39)))</formula>
    </cfRule>
  </conditionalFormatting>
  <conditionalFormatting sqref="I51">
    <cfRule type="containsText" dxfId="321" priority="322" operator="containsText" text="Block">
      <formula>NOT(ISERROR(SEARCH("Block", I39)))</formula>
    </cfRule>
  </conditionalFormatting>
  <conditionalFormatting sqref="I51">
    <cfRule type="containsText" dxfId="322" priority="323" operator="containsText" text="N/A">
      <formula>NOT(ISERROR(SEARCH("N/A", I39)))</formula>
    </cfRule>
  </conditionalFormatting>
  <conditionalFormatting sqref="I51">
    <cfRule type="containsText" dxfId="323" priority="324" operator="containsText" text="N/T">
      <formula>NOT(ISERROR(SEARCH("N/T", I39)))</formula>
    </cfRule>
  </conditionalFormatting>
  <conditionalFormatting sqref="I49">
    <cfRule type="containsText" dxfId="324" priority="325" operator="containsText" text="N/A">
      <formula>NOT(ISERROR(SEARCH("N/A", I37)))</formula>
    </cfRule>
  </conditionalFormatting>
  <conditionalFormatting sqref="I49">
    <cfRule type="containsText" dxfId="325" priority="326" operator="containsText" text="Block">
      <formula>NOT(ISERROR(SEARCH("Block", I37)))</formula>
    </cfRule>
  </conditionalFormatting>
  <conditionalFormatting sqref="I49">
    <cfRule type="containsText" dxfId="326" priority="327" operator="containsText" text="Fail">
      <formula>NOT(ISERROR(SEARCH("Fail", I37)))</formula>
    </cfRule>
  </conditionalFormatting>
  <conditionalFormatting sqref="I49">
    <cfRule type="containsText" dxfId="327" priority="328" operator="containsText" text="Pass">
      <formula>NOT(ISERROR(SEARCH("Pass", I37)))</formula>
    </cfRule>
  </conditionalFormatting>
  <conditionalFormatting sqref="I49">
    <cfRule type="containsBlanks" dxfId="328" priority="329">
      <formula>LEN(TRIM(I37))=0</formula>
    </cfRule>
  </conditionalFormatting>
  <conditionalFormatting sqref="I49">
    <cfRule type="containsText" dxfId="329" priority="330" operator="containsText" text="N/T">
      <formula>NOT(ISERROR(SEARCH("N/T", I37)))</formula>
    </cfRule>
  </conditionalFormatting>
  <conditionalFormatting sqref="I48">
    <cfRule type="containsText" dxfId="330" priority="331" operator="containsText" text="N/T">
      <formula>NOT(ISERROR(SEARCH("N/T", I36)))</formula>
    </cfRule>
  </conditionalFormatting>
  <conditionalFormatting sqref="I48">
    <cfRule type="containsBlanks" dxfId="331" priority="332">
      <formula>LEN(TRIM(I36))=0</formula>
    </cfRule>
  </conditionalFormatting>
  <conditionalFormatting sqref="I48">
    <cfRule type="containsText" dxfId="332" priority="333" operator="containsText" text="Pass">
      <formula>NOT(ISERROR(SEARCH("Pass", I36)))</formula>
    </cfRule>
  </conditionalFormatting>
  <conditionalFormatting sqref="I48">
    <cfRule type="containsText" dxfId="333" priority="334" operator="containsText" text="Fail">
      <formula>NOT(ISERROR(SEARCH("Fail", I36)))</formula>
    </cfRule>
  </conditionalFormatting>
  <conditionalFormatting sqref="I48">
    <cfRule type="containsText" dxfId="334" priority="335" operator="containsText" text="Block">
      <formula>NOT(ISERROR(SEARCH("Block", I36)))</formula>
    </cfRule>
  </conditionalFormatting>
  <conditionalFormatting sqref="I48">
    <cfRule type="containsText" dxfId="335" priority="336" operator="containsText" text="N/A">
      <formula>NOT(ISERROR(SEARCH("N/A", I36)))</formula>
    </cfRule>
  </conditionalFormatting>
  <conditionalFormatting sqref="I47">
    <cfRule type="containsText" dxfId="336" priority="337" operator="containsText" text="Block">
      <formula>NOT(ISERROR(SEARCH("Block", I35)))</formula>
    </cfRule>
  </conditionalFormatting>
  <conditionalFormatting sqref="I47">
    <cfRule type="containsText" dxfId="337" priority="338" operator="containsText" text="Fail">
      <formula>NOT(ISERROR(SEARCH("Fail", I35)))</formula>
    </cfRule>
  </conditionalFormatting>
  <conditionalFormatting sqref="I47">
    <cfRule type="containsText" dxfId="338" priority="339" operator="containsText" text="Pass">
      <formula>NOT(ISERROR(SEARCH("Pass", I35)))</formula>
    </cfRule>
  </conditionalFormatting>
  <conditionalFormatting sqref="I47">
    <cfRule type="containsBlanks" dxfId="339" priority="340">
      <formula>LEN(TRIM(I35))=0</formula>
    </cfRule>
  </conditionalFormatting>
  <conditionalFormatting sqref="I47">
    <cfRule type="containsText" dxfId="340" priority="341" operator="containsText" text="N/T">
      <formula>NOT(ISERROR(SEARCH("N/T", I35)))</formula>
    </cfRule>
  </conditionalFormatting>
  <conditionalFormatting sqref="I47">
    <cfRule type="containsText" dxfId="341" priority="342" operator="containsText" text="N/A">
      <formula>NOT(ISERROR(SEARCH("N/A", I35)))</formula>
    </cfRule>
  </conditionalFormatting>
  <conditionalFormatting sqref="I53">
    <cfRule type="containsText" dxfId="342" priority="343" operator="containsText" text="N/A">
      <formula>NOT(ISERROR(SEARCH("N/A", I41)))</formula>
    </cfRule>
  </conditionalFormatting>
  <conditionalFormatting sqref="I53">
    <cfRule type="containsText" dxfId="343" priority="344" operator="containsText" text="Block">
      <formula>NOT(ISERROR(SEARCH("Block", I41)))</formula>
    </cfRule>
  </conditionalFormatting>
  <conditionalFormatting sqref="I53">
    <cfRule type="containsText" dxfId="344" priority="345" operator="containsText" text="Fail">
      <formula>NOT(ISERROR(SEARCH("Fail", I41)))</formula>
    </cfRule>
  </conditionalFormatting>
  <conditionalFormatting sqref="I53">
    <cfRule type="containsText" dxfId="345" priority="346" operator="containsText" text="Pass">
      <formula>NOT(ISERROR(SEARCH("Pass", I41)))</formula>
    </cfRule>
  </conditionalFormatting>
  <conditionalFormatting sqref="I53">
    <cfRule type="containsBlanks" dxfId="346" priority="347">
      <formula>LEN(TRIM(I41))=0</formula>
    </cfRule>
  </conditionalFormatting>
  <conditionalFormatting sqref="I53">
    <cfRule type="containsText" dxfId="347" priority="348" operator="containsText" text="N/T">
      <formula>NOT(ISERROR(SEARCH("N/T", I41)))</formula>
    </cfRule>
  </conditionalFormatting>
  <conditionalFormatting sqref="I52">
    <cfRule type="containsBlanks" dxfId="348" priority="349">
      <formula>LEN(TRIM(I40))=0</formula>
    </cfRule>
  </conditionalFormatting>
  <conditionalFormatting sqref="I52">
    <cfRule type="containsText" dxfId="349" priority="350" operator="containsText" text="Pass">
      <formula>NOT(ISERROR(SEARCH("Pass", I40)))</formula>
    </cfRule>
  </conditionalFormatting>
  <conditionalFormatting sqref="I52">
    <cfRule type="containsText" dxfId="350" priority="351" operator="containsText" text="Fail">
      <formula>NOT(ISERROR(SEARCH("Fail", I40)))</formula>
    </cfRule>
  </conditionalFormatting>
  <conditionalFormatting sqref="I52">
    <cfRule type="containsText" dxfId="351" priority="352" operator="containsText" text="Block">
      <formula>NOT(ISERROR(SEARCH("Block", I40)))</formula>
    </cfRule>
  </conditionalFormatting>
  <conditionalFormatting sqref="I52">
    <cfRule type="containsText" dxfId="352" priority="353" operator="containsText" text="N/A">
      <formula>NOT(ISERROR(SEARCH("N/A", I40)))</formula>
    </cfRule>
  </conditionalFormatting>
  <conditionalFormatting sqref="I52">
    <cfRule type="containsText" dxfId="353" priority="354" operator="containsText" text="N/T">
      <formula>NOT(ISERROR(SEARCH("N/T", I40)))</formula>
    </cfRule>
  </conditionalFormatting>
  <conditionalFormatting sqref="I54">
    <cfRule type="containsText" dxfId="354" priority="355" operator="containsText" text="N/A">
      <formula>NOT(ISERROR(SEARCH("N/A", I42)))</formula>
    </cfRule>
  </conditionalFormatting>
  <conditionalFormatting sqref="I54">
    <cfRule type="containsText" dxfId="355" priority="356" operator="containsText" text="N/T">
      <formula>NOT(ISERROR(SEARCH("N/T", I42)))</formula>
    </cfRule>
  </conditionalFormatting>
  <conditionalFormatting sqref="I54">
    <cfRule type="containsBlanks" dxfId="356" priority="357">
      <formula>LEN(TRIM(I42))=0</formula>
    </cfRule>
  </conditionalFormatting>
  <conditionalFormatting sqref="I54">
    <cfRule type="containsText" dxfId="357" priority="358" operator="containsText" text="Pass">
      <formula>NOT(ISERROR(SEARCH("Pass", I42)))</formula>
    </cfRule>
  </conditionalFormatting>
  <conditionalFormatting sqref="I54">
    <cfRule type="containsText" dxfId="358" priority="359" operator="containsText" text="Fail">
      <formula>NOT(ISERROR(SEARCH("Fail", I42)))</formula>
    </cfRule>
  </conditionalFormatting>
  <conditionalFormatting sqref="I54">
    <cfRule type="containsText" dxfId="359" priority="360" operator="containsText" text="Block">
      <formula>NOT(ISERROR(SEARCH("Block", I42)))</formula>
    </cfRule>
  </conditionalFormatting>
  <conditionalFormatting sqref="I55">
    <cfRule type="containsText" dxfId="360" priority="361" operator="containsText" text="N/A">
      <formula>NOT(ISERROR(SEARCH("N/A", I43)))</formula>
    </cfRule>
  </conditionalFormatting>
  <conditionalFormatting sqref="I55">
    <cfRule type="containsText" dxfId="361" priority="362" operator="containsText" text="N/T">
      <formula>NOT(ISERROR(SEARCH("N/T", I43)))</formula>
    </cfRule>
  </conditionalFormatting>
  <conditionalFormatting sqref="I55">
    <cfRule type="containsBlanks" dxfId="362" priority="363">
      <formula>LEN(TRIM(I43))=0</formula>
    </cfRule>
  </conditionalFormatting>
  <conditionalFormatting sqref="I55">
    <cfRule type="containsText" dxfId="363" priority="364" operator="containsText" text="Pass">
      <formula>NOT(ISERROR(SEARCH("Pass", I43)))</formula>
    </cfRule>
  </conditionalFormatting>
  <conditionalFormatting sqref="I55">
    <cfRule type="containsText" dxfId="364" priority="365" operator="containsText" text="Fail">
      <formula>NOT(ISERROR(SEARCH("Fail", I43)))</formula>
    </cfRule>
  </conditionalFormatting>
  <conditionalFormatting sqref="I55">
    <cfRule type="containsText" dxfId="365" priority="366" operator="containsText" text="Block">
      <formula>NOT(ISERROR(SEARCH("Block", I43)))</formula>
    </cfRule>
  </conditionalFormatting>
  <conditionalFormatting sqref="I56">
    <cfRule type="containsText" dxfId="366" priority="367" operator="containsText" text="N/A">
      <formula>NOT(ISERROR(SEARCH("N/A", I44)))</formula>
    </cfRule>
  </conditionalFormatting>
  <conditionalFormatting sqref="I56">
    <cfRule type="containsText" dxfId="367" priority="368" operator="containsText" text="N/T">
      <formula>NOT(ISERROR(SEARCH("N/T", I44)))</formula>
    </cfRule>
  </conditionalFormatting>
  <conditionalFormatting sqref="I56">
    <cfRule type="containsBlanks" dxfId="368" priority="369">
      <formula>LEN(TRIM(I44))=0</formula>
    </cfRule>
  </conditionalFormatting>
  <conditionalFormatting sqref="I56">
    <cfRule type="containsText" dxfId="369" priority="370" operator="containsText" text="Pass">
      <formula>NOT(ISERROR(SEARCH("Pass", I44)))</formula>
    </cfRule>
  </conditionalFormatting>
  <conditionalFormatting sqref="I56">
    <cfRule type="containsText" dxfId="370" priority="371" operator="containsText" text="Fail">
      <formula>NOT(ISERROR(SEARCH("Fail", I44)))</formula>
    </cfRule>
  </conditionalFormatting>
  <conditionalFormatting sqref="I56">
    <cfRule type="containsText" dxfId="371" priority="372" operator="containsText" text="Block">
      <formula>NOT(ISERROR(SEARCH("Block", I44)))</formula>
    </cfRule>
  </conditionalFormatting>
  <conditionalFormatting sqref="I57">
    <cfRule type="containsText" dxfId="372" priority="373" operator="containsText" text="N/A">
      <formula>NOT(ISERROR(SEARCH("N/A", I45)))</formula>
    </cfRule>
  </conditionalFormatting>
  <conditionalFormatting sqref="I57">
    <cfRule type="containsText" dxfId="373" priority="374" operator="containsText" text="N/T">
      <formula>NOT(ISERROR(SEARCH("N/T", I45)))</formula>
    </cfRule>
  </conditionalFormatting>
  <conditionalFormatting sqref="I57">
    <cfRule type="containsBlanks" dxfId="374" priority="375">
      <formula>LEN(TRIM(I45))=0</formula>
    </cfRule>
  </conditionalFormatting>
  <conditionalFormatting sqref="I57">
    <cfRule type="containsText" dxfId="375" priority="376" operator="containsText" text="Pass">
      <formula>NOT(ISERROR(SEARCH("Pass", I45)))</formula>
    </cfRule>
  </conditionalFormatting>
  <conditionalFormatting sqref="I57">
    <cfRule type="containsText" dxfId="376" priority="377" operator="containsText" text="Fail">
      <formula>NOT(ISERROR(SEARCH("Fail", I45)))</formula>
    </cfRule>
  </conditionalFormatting>
  <conditionalFormatting sqref="I57">
    <cfRule type="containsText" dxfId="377" priority="378" operator="containsText" text="Block">
      <formula>NOT(ISERROR(SEARCH("Block", I45)))</formula>
    </cfRule>
  </conditionalFormatting>
  <conditionalFormatting sqref="I46">
    <cfRule type="containsText" dxfId="378" priority="379" operator="containsText" text="N/T">
      <formula>NOT(ISERROR(SEARCH("N/T", I34)))</formula>
    </cfRule>
  </conditionalFormatting>
  <conditionalFormatting sqref="I46">
    <cfRule type="containsBlanks" dxfId="379" priority="380">
      <formula>LEN(TRIM(I34))=0</formula>
    </cfRule>
  </conditionalFormatting>
  <conditionalFormatting sqref="I46">
    <cfRule type="containsText" dxfId="380" priority="381" operator="containsText" text="Pass">
      <formula>NOT(ISERROR(SEARCH("Pass", I34)))</formula>
    </cfRule>
  </conditionalFormatting>
  <conditionalFormatting sqref="I46">
    <cfRule type="containsText" dxfId="381" priority="382" operator="containsText" text="Fail">
      <formula>NOT(ISERROR(SEARCH("Fail", I34)))</formula>
    </cfRule>
  </conditionalFormatting>
  <conditionalFormatting sqref="I46">
    <cfRule type="containsText" dxfId="382" priority="383" operator="containsText" text="Block">
      <formula>NOT(ISERROR(SEARCH("Block", I34)))</formula>
    </cfRule>
  </conditionalFormatting>
  <conditionalFormatting sqref="I46">
    <cfRule type="containsText" dxfId="383" priority="384" operator="containsText" text="N/A">
      <formula>NOT(ISERROR(SEARCH("N/A", I34)))</formula>
    </cfRule>
  </conditionalFormatting>
  <conditionalFormatting sqref="I43">
    <cfRule type="containsText" dxfId="384" priority="385" operator="containsText" text="Block">
      <formula>NOT(ISERROR(SEARCH("Block", I31)))</formula>
    </cfRule>
  </conditionalFormatting>
  <conditionalFormatting sqref="I43">
    <cfRule type="containsText" dxfId="385" priority="386" operator="containsText" text="Fail">
      <formula>NOT(ISERROR(SEARCH("Fail", I31)))</formula>
    </cfRule>
  </conditionalFormatting>
  <conditionalFormatting sqref="I43">
    <cfRule type="containsText" dxfId="386" priority="387" operator="containsText" text="Pass">
      <formula>NOT(ISERROR(SEARCH("Pass", I31)))</formula>
    </cfRule>
  </conditionalFormatting>
  <conditionalFormatting sqref="I43">
    <cfRule type="containsBlanks" dxfId="387" priority="388">
      <formula>LEN(TRIM(I31))=0</formula>
    </cfRule>
  </conditionalFormatting>
  <conditionalFormatting sqref="I43">
    <cfRule type="containsText" dxfId="388" priority="389" operator="containsText" text="N/T">
      <formula>NOT(ISERROR(SEARCH("N/T", I31)))</formula>
    </cfRule>
  </conditionalFormatting>
  <conditionalFormatting sqref="I43">
    <cfRule type="containsText" dxfId="389" priority="390" operator="containsText" text="N/A">
      <formula>NOT(ISERROR(SEARCH("N/A", I31)))</formula>
    </cfRule>
  </conditionalFormatting>
  <conditionalFormatting sqref="I42">
    <cfRule type="containsText" dxfId="390" priority="391" operator="containsText" text="N/T">
      <formula>NOT(ISERROR(SEARCH("N/T", I30)))</formula>
    </cfRule>
  </conditionalFormatting>
  <conditionalFormatting sqref="I42">
    <cfRule type="containsBlanks" dxfId="391" priority="392">
      <formula>LEN(TRIM(I30))=0</formula>
    </cfRule>
  </conditionalFormatting>
  <conditionalFormatting sqref="I42">
    <cfRule type="containsText" dxfId="392" priority="393" operator="containsText" text="Pass">
      <formula>NOT(ISERROR(SEARCH("Pass", I30)))</formula>
    </cfRule>
  </conditionalFormatting>
  <conditionalFormatting sqref="I42">
    <cfRule type="containsText" dxfId="393" priority="394" operator="containsText" text="Fail">
      <formula>NOT(ISERROR(SEARCH("Fail", I30)))</formula>
    </cfRule>
  </conditionalFormatting>
  <conditionalFormatting sqref="I42">
    <cfRule type="containsText" dxfId="394" priority="395" operator="containsText" text="Block">
      <formula>NOT(ISERROR(SEARCH("Block", I30)))</formula>
    </cfRule>
  </conditionalFormatting>
  <conditionalFormatting sqref="I42">
    <cfRule type="containsText" dxfId="395" priority="396" operator="containsText" text="N/A">
      <formula>NOT(ISERROR(SEARCH("N/A", I30)))</formula>
    </cfRule>
  </conditionalFormatting>
  <conditionalFormatting sqref="I41">
    <cfRule type="containsText" dxfId="396" priority="397" operator="containsText" text="Block">
      <formula>NOT(ISERROR(SEARCH("Block", I29)))</formula>
    </cfRule>
  </conditionalFormatting>
  <conditionalFormatting sqref="I41">
    <cfRule type="containsText" dxfId="397" priority="398" operator="containsText" text="Fail">
      <formula>NOT(ISERROR(SEARCH("Fail", I29)))</formula>
    </cfRule>
  </conditionalFormatting>
  <conditionalFormatting sqref="I41">
    <cfRule type="containsText" dxfId="398" priority="399" operator="containsText" text="Pass">
      <formula>NOT(ISERROR(SEARCH("Pass", I29)))</formula>
    </cfRule>
  </conditionalFormatting>
  <conditionalFormatting sqref="I41">
    <cfRule type="containsBlanks" dxfId="399" priority="400">
      <formula>LEN(TRIM(I29))=0</formula>
    </cfRule>
  </conditionalFormatting>
  <conditionalFormatting sqref="I41">
    <cfRule type="containsText" dxfId="400" priority="401" operator="containsText" text="N/T">
      <formula>NOT(ISERROR(SEARCH("N/T", I29)))</formula>
    </cfRule>
  </conditionalFormatting>
  <conditionalFormatting sqref="I41">
    <cfRule type="containsText" dxfId="401" priority="402" operator="containsText" text="N/A">
      <formula>NOT(ISERROR(SEARCH("N/A", I29)))</formula>
    </cfRule>
  </conditionalFormatting>
  <conditionalFormatting sqref="I39">
    <cfRule type="containsText" dxfId="402" priority="403" operator="containsText" text="N/T">
      <formula>NOT(ISERROR(SEARCH("N/T", I27)))</formula>
    </cfRule>
  </conditionalFormatting>
  <conditionalFormatting sqref="I39">
    <cfRule type="containsBlanks" dxfId="403" priority="404">
      <formula>LEN(TRIM(I27))=0</formula>
    </cfRule>
  </conditionalFormatting>
  <conditionalFormatting sqref="I39">
    <cfRule type="containsText" dxfId="404" priority="405" operator="containsText" text="Pass">
      <formula>NOT(ISERROR(SEARCH("Pass", I27)))</formula>
    </cfRule>
  </conditionalFormatting>
  <conditionalFormatting sqref="I39">
    <cfRule type="containsText" dxfId="405" priority="406" operator="containsText" text="Fail">
      <formula>NOT(ISERROR(SEARCH("Fail", I27)))</formula>
    </cfRule>
  </conditionalFormatting>
  <conditionalFormatting sqref="I39">
    <cfRule type="containsText" dxfId="406" priority="407" operator="containsText" text="Block">
      <formula>NOT(ISERROR(SEARCH("Block", I27)))</formula>
    </cfRule>
  </conditionalFormatting>
  <conditionalFormatting sqref="I39">
    <cfRule type="containsText" dxfId="407" priority="408" operator="containsText" text="N/A">
      <formula>NOT(ISERROR(SEARCH("N/A", I27)))</formula>
    </cfRule>
  </conditionalFormatting>
  <conditionalFormatting sqref="I38">
    <cfRule type="containsText" dxfId="408" priority="409" operator="containsText" text="N/T">
      <formula>NOT(ISERROR(SEARCH("N/T", I26)))</formula>
    </cfRule>
  </conditionalFormatting>
  <conditionalFormatting sqref="I38">
    <cfRule type="containsBlanks" dxfId="409" priority="410">
      <formula>LEN(TRIM(I26))=0</formula>
    </cfRule>
  </conditionalFormatting>
  <conditionalFormatting sqref="I38">
    <cfRule type="containsText" dxfId="410" priority="411" operator="containsText" text="Pass">
      <formula>NOT(ISERROR(SEARCH("Pass", I26)))</formula>
    </cfRule>
  </conditionalFormatting>
  <conditionalFormatting sqref="I38">
    <cfRule type="containsText" dxfId="411" priority="412" operator="containsText" text="Fail">
      <formula>NOT(ISERROR(SEARCH("Fail", I26)))</formula>
    </cfRule>
  </conditionalFormatting>
  <conditionalFormatting sqref="I38">
    <cfRule type="containsText" dxfId="412" priority="413" operator="containsText" text="Block">
      <formula>NOT(ISERROR(SEARCH("Block", I26)))</formula>
    </cfRule>
  </conditionalFormatting>
  <conditionalFormatting sqref="I38">
    <cfRule type="containsText" dxfId="413" priority="414" operator="containsText" text="N/A">
      <formula>NOT(ISERROR(SEARCH("N/A", I26)))</formula>
    </cfRule>
  </conditionalFormatting>
  <conditionalFormatting sqref="I28">
    <cfRule type="containsText" dxfId="414" priority="415" operator="containsText" text="Block">
      <formula>NOT(ISERROR(SEARCH("Block", I24)))</formula>
    </cfRule>
  </conditionalFormatting>
  <conditionalFormatting sqref="I28">
    <cfRule type="containsText" dxfId="415" priority="416" operator="containsText" text="Fail">
      <formula>NOT(ISERROR(SEARCH("Fail", I24)))</formula>
    </cfRule>
  </conditionalFormatting>
  <conditionalFormatting sqref="I28">
    <cfRule type="containsText" dxfId="416" priority="417" operator="containsText" text="Pass">
      <formula>NOT(ISERROR(SEARCH("Pass", I24)))</formula>
    </cfRule>
  </conditionalFormatting>
  <conditionalFormatting sqref="I28">
    <cfRule type="containsBlanks" dxfId="417" priority="418">
      <formula>LEN(TRIM(I24))=0</formula>
    </cfRule>
  </conditionalFormatting>
  <conditionalFormatting sqref="I28">
    <cfRule type="containsText" dxfId="418" priority="419" operator="containsText" text="N/T">
      <formula>NOT(ISERROR(SEARCH("N/T", I24)))</formula>
    </cfRule>
  </conditionalFormatting>
  <conditionalFormatting sqref="I28">
    <cfRule type="containsText" dxfId="419" priority="420" operator="containsText" text="N/A">
      <formula>NOT(ISERROR(SEARCH("N/A", I24)))</formula>
    </cfRule>
  </conditionalFormatting>
  <conditionalFormatting sqref="I27">
    <cfRule type="containsText" dxfId="420" priority="421" operator="containsText" text="Block">
      <formula>NOT(ISERROR(SEARCH("Block", I23)))</formula>
    </cfRule>
  </conditionalFormatting>
  <conditionalFormatting sqref="I27">
    <cfRule type="containsText" dxfId="421" priority="422" operator="containsText" text="Fail">
      <formula>NOT(ISERROR(SEARCH("Fail", I23)))</formula>
    </cfRule>
  </conditionalFormatting>
  <conditionalFormatting sqref="I27">
    <cfRule type="containsText" dxfId="422" priority="423" operator="containsText" text="Pass">
      <formula>NOT(ISERROR(SEARCH("Pass", I23)))</formula>
    </cfRule>
  </conditionalFormatting>
  <conditionalFormatting sqref="I27">
    <cfRule type="containsBlanks" dxfId="423" priority="424">
      <formula>LEN(TRIM(I23))=0</formula>
    </cfRule>
  </conditionalFormatting>
  <conditionalFormatting sqref="I27">
    <cfRule type="containsText" dxfId="424" priority="425" operator="containsText" text="N/T">
      <formula>NOT(ISERROR(SEARCH("N/T", I23)))</formula>
    </cfRule>
  </conditionalFormatting>
  <conditionalFormatting sqref="I27">
    <cfRule type="containsText" dxfId="425" priority="426" operator="containsText" text="N/A">
      <formula>NOT(ISERROR(SEARCH("N/A", I23)))</formula>
    </cfRule>
  </conditionalFormatting>
  <conditionalFormatting sqref="I26">
    <cfRule type="containsText" dxfId="426" priority="427" operator="containsText" text="Block">
      <formula>NOT(ISERROR(SEARCH("Block", I22)))</formula>
    </cfRule>
  </conditionalFormatting>
  <conditionalFormatting sqref="I26">
    <cfRule type="containsText" dxfId="427" priority="428" operator="containsText" text="Fail">
      <formula>NOT(ISERROR(SEARCH("Fail", I22)))</formula>
    </cfRule>
  </conditionalFormatting>
  <conditionalFormatting sqref="I26">
    <cfRule type="containsText" dxfId="428" priority="429" operator="containsText" text="Pass">
      <formula>NOT(ISERROR(SEARCH("Pass", I22)))</formula>
    </cfRule>
  </conditionalFormatting>
  <conditionalFormatting sqref="I26">
    <cfRule type="containsBlanks" dxfId="429" priority="430">
      <formula>LEN(TRIM(I22))=0</formula>
    </cfRule>
  </conditionalFormatting>
  <conditionalFormatting sqref="I26">
    <cfRule type="containsText" dxfId="430" priority="431" operator="containsText" text="N/T">
      <formula>NOT(ISERROR(SEARCH("N/T", I22)))</formula>
    </cfRule>
  </conditionalFormatting>
  <conditionalFormatting sqref="I26">
    <cfRule type="containsText" dxfId="431" priority="432" operator="containsText" text="N/A">
      <formula>NOT(ISERROR(SEARCH("N/A", I22)))</formula>
    </cfRule>
  </conditionalFormatting>
  <conditionalFormatting sqref="I25">
    <cfRule type="containsText" dxfId="432" priority="433" operator="containsText" text="Block">
      <formula>NOT(ISERROR(SEARCH("Block", I21)))</formula>
    </cfRule>
  </conditionalFormatting>
  <conditionalFormatting sqref="I25">
    <cfRule type="containsText" dxfId="433" priority="434" operator="containsText" text="Fail">
      <formula>NOT(ISERROR(SEARCH("Fail", I21)))</formula>
    </cfRule>
  </conditionalFormatting>
  <conditionalFormatting sqref="I25">
    <cfRule type="containsText" dxfId="434" priority="435" operator="containsText" text="Pass">
      <formula>NOT(ISERROR(SEARCH("Pass", I21)))</formula>
    </cfRule>
  </conditionalFormatting>
  <conditionalFormatting sqref="I25">
    <cfRule type="containsBlanks" dxfId="435" priority="436">
      <formula>LEN(TRIM(I21))=0</formula>
    </cfRule>
  </conditionalFormatting>
  <conditionalFormatting sqref="I25">
    <cfRule type="containsText" dxfId="436" priority="437" operator="containsText" text="N/T">
      <formula>NOT(ISERROR(SEARCH("N/T", I21)))</formula>
    </cfRule>
  </conditionalFormatting>
  <conditionalFormatting sqref="I25">
    <cfRule type="containsText" dxfId="437" priority="438" operator="containsText" text="N/A">
      <formula>NOT(ISERROR(SEARCH("N/A", I21)))</formula>
    </cfRule>
  </conditionalFormatting>
  <conditionalFormatting sqref="I29">
    <cfRule type="containsText" dxfId="438" priority="439" operator="containsText" text="Block">
      <formula>NOT(ISERROR(SEARCH("Block", I25)))</formula>
    </cfRule>
  </conditionalFormatting>
  <conditionalFormatting sqref="I29">
    <cfRule type="containsText" dxfId="439" priority="440" operator="containsText" text="Fail">
      <formula>NOT(ISERROR(SEARCH("Fail", I25)))</formula>
    </cfRule>
  </conditionalFormatting>
  <conditionalFormatting sqref="I29">
    <cfRule type="containsText" dxfId="440" priority="441" operator="containsText" text="Pass">
      <formula>NOT(ISERROR(SEARCH("Pass", I25)))</formula>
    </cfRule>
  </conditionalFormatting>
  <conditionalFormatting sqref="I29">
    <cfRule type="containsBlanks" dxfId="441" priority="442">
      <formula>LEN(TRIM(I25))=0</formula>
    </cfRule>
  </conditionalFormatting>
  <conditionalFormatting sqref="I29">
    <cfRule type="containsText" dxfId="442" priority="443" operator="containsText" text="N/T">
      <formula>NOT(ISERROR(SEARCH("N/T", I25)))</formula>
    </cfRule>
  </conditionalFormatting>
  <conditionalFormatting sqref="I29">
    <cfRule type="containsText" dxfId="443" priority="444" operator="containsText" text="N/A">
      <formula>NOT(ISERROR(SEARCH("N/A", I25)))</formula>
    </cfRule>
  </conditionalFormatting>
  <conditionalFormatting sqref="I36">
    <cfRule type="containsText" dxfId="444" priority="445" operator="containsText" text="N/T">
      <formula>NOT(ISERROR(SEARCH("N/T", I19)))</formula>
    </cfRule>
  </conditionalFormatting>
  <conditionalFormatting sqref="I36">
    <cfRule type="containsText" dxfId="445" priority="446" operator="containsText" text="N/A">
      <formula>NOT(ISERROR(SEARCH("N/A", I19)))</formula>
    </cfRule>
  </conditionalFormatting>
  <conditionalFormatting sqref="I36">
    <cfRule type="containsText" dxfId="446" priority="447" operator="containsText" text="Block">
      <formula>NOT(ISERROR(SEARCH("Block", I19)))</formula>
    </cfRule>
  </conditionalFormatting>
  <conditionalFormatting sqref="I36">
    <cfRule type="containsText" dxfId="447" priority="448" operator="containsText" text="Fail">
      <formula>NOT(ISERROR(SEARCH("Fail", I19)))</formula>
    </cfRule>
  </conditionalFormatting>
  <conditionalFormatting sqref="I36">
    <cfRule type="containsText" dxfId="448" priority="449" operator="containsText" text="Pass">
      <formula>NOT(ISERROR(SEARCH("Pass", I19)))</formula>
    </cfRule>
  </conditionalFormatting>
  <conditionalFormatting sqref="I36">
    <cfRule type="containsBlanks" dxfId="449" priority="450">
      <formula>LEN(TRIM(I19))=0</formula>
    </cfRule>
  </conditionalFormatting>
  <conditionalFormatting sqref="I37">
    <cfRule type="containsText" dxfId="450" priority="451" operator="containsText" text="N/T">
      <formula>NOT(ISERROR(SEARCH("N/T", I20)))</formula>
    </cfRule>
  </conditionalFormatting>
  <conditionalFormatting sqref="I37">
    <cfRule type="containsBlanks" dxfId="451" priority="452">
      <formula>LEN(TRIM(I20))=0</formula>
    </cfRule>
  </conditionalFormatting>
  <conditionalFormatting sqref="I37">
    <cfRule type="containsText" dxfId="452" priority="453" operator="containsText" text="Pass">
      <formula>NOT(ISERROR(SEARCH("Pass", I20)))</formula>
    </cfRule>
  </conditionalFormatting>
  <conditionalFormatting sqref="I37">
    <cfRule type="containsText" dxfId="453" priority="454" operator="containsText" text="Fail">
      <formula>NOT(ISERROR(SEARCH("Fail", I20)))</formula>
    </cfRule>
  </conditionalFormatting>
  <conditionalFormatting sqref="I37">
    <cfRule type="containsText" dxfId="454" priority="455" operator="containsText" text="Block">
      <formula>NOT(ISERROR(SEARCH("Block", I20)))</formula>
    </cfRule>
  </conditionalFormatting>
  <conditionalFormatting sqref="I37">
    <cfRule type="containsText" dxfId="455" priority="456" operator="containsText" text="N/A">
      <formula>NOT(ISERROR(SEARCH("N/A", I20)))</formula>
    </cfRule>
  </conditionalFormatting>
  <conditionalFormatting sqref="I34">
    <cfRule type="containsText" dxfId="456" priority="457" operator="containsText" text="N/T">
      <formula>NOT(ISERROR(SEARCH("N/T", I17)))</formula>
    </cfRule>
  </conditionalFormatting>
  <conditionalFormatting sqref="I34">
    <cfRule type="containsText" dxfId="457" priority="458" operator="containsText" text="N/A">
      <formula>NOT(ISERROR(SEARCH("N/A", I17)))</formula>
    </cfRule>
  </conditionalFormatting>
  <conditionalFormatting sqref="I34">
    <cfRule type="containsText" dxfId="458" priority="459" operator="containsText" text="Block">
      <formula>NOT(ISERROR(SEARCH("Block", I17)))</formula>
    </cfRule>
  </conditionalFormatting>
  <conditionalFormatting sqref="I34">
    <cfRule type="containsText" dxfId="459" priority="460" operator="containsText" text="Fail">
      <formula>NOT(ISERROR(SEARCH("Fail", I17)))</formula>
    </cfRule>
  </conditionalFormatting>
  <conditionalFormatting sqref="I34">
    <cfRule type="containsText" dxfId="460" priority="461" operator="containsText" text="Pass">
      <formula>NOT(ISERROR(SEARCH("Pass", I17)))</formula>
    </cfRule>
  </conditionalFormatting>
  <conditionalFormatting sqref="I34">
    <cfRule type="containsBlanks" dxfId="461" priority="462">
      <formula>LEN(TRIM(I17))=0</formula>
    </cfRule>
  </conditionalFormatting>
  <conditionalFormatting sqref="I35">
    <cfRule type="containsText" dxfId="462" priority="463" operator="containsText" text="N/T">
      <formula>NOT(ISERROR(SEARCH("N/T", I18)))</formula>
    </cfRule>
  </conditionalFormatting>
  <conditionalFormatting sqref="I35">
    <cfRule type="containsBlanks" dxfId="463" priority="464">
      <formula>LEN(TRIM(I18))=0</formula>
    </cfRule>
  </conditionalFormatting>
  <conditionalFormatting sqref="I35">
    <cfRule type="containsText" dxfId="464" priority="465" operator="containsText" text="Pass">
      <formula>NOT(ISERROR(SEARCH("Pass", I18)))</formula>
    </cfRule>
  </conditionalFormatting>
  <conditionalFormatting sqref="I35">
    <cfRule type="containsText" dxfId="465" priority="466" operator="containsText" text="Fail">
      <formula>NOT(ISERROR(SEARCH("Fail", I18)))</formula>
    </cfRule>
  </conditionalFormatting>
  <conditionalFormatting sqref="I35">
    <cfRule type="containsText" dxfId="466" priority="467" operator="containsText" text="Block">
      <formula>NOT(ISERROR(SEARCH("Block", I18)))</formula>
    </cfRule>
  </conditionalFormatting>
  <conditionalFormatting sqref="I35">
    <cfRule type="containsText" dxfId="467" priority="468" operator="containsText" text="N/A">
      <formula>NOT(ISERROR(SEARCH("N/A", I18)))</formula>
    </cfRule>
  </conditionalFormatting>
  <conditionalFormatting sqref="I24">
    <cfRule type="containsText" dxfId="468" priority="469" operator="containsText" text="N/A">
      <formula>NOT(ISERROR(SEARCH("N/A", I16)))</formula>
    </cfRule>
  </conditionalFormatting>
  <conditionalFormatting sqref="I24">
    <cfRule type="containsText" dxfId="469" priority="470" operator="containsText" text="Block">
      <formula>NOT(ISERROR(SEARCH("Block", I16)))</formula>
    </cfRule>
  </conditionalFormatting>
  <conditionalFormatting sqref="I24">
    <cfRule type="containsText" dxfId="470" priority="471" operator="containsText" text="Fail">
      <formula>NOT(ISERROR(SEARCH("Fail", I16)))</formula>
    </cfRule>
  </conditionalFormatting>
  <conditionalFormatting sqref="I24">
    <cfRule type="containsText" dxfId="471" priority="472" operator="containsText" text="Pass">
      <formula>NOT(ISERROR(SEARCH("Pass", I16)))</formula>
    </cfRule>
  </conditionalFormatting>
  <conditionalFormatting sqref="I24">
    <cfRule type="containsBlanks" dxfId="472" priority="473">
      <formula>LEN(TRIM(I16))=0</formula>
    </cfRule>
  </conditionalFormatting>
  <conditionalFormatting sqref="I24">
    <cfRule type="containsText" dxfId="473" priority="474" operator="containsText" text="N/T">
      <formula>NOT(ISERROR(SEARCH("N/T", I16)))</formula>
    </cfRule>
  </conditionalFormatting>
  <conditionalFormatting sqref="I23">
    <cfRule type="containsBlanks" dxfId="474" priority="475">
      <formula>LEN(TRIM(I15))=0</formula>
    </cfRule>
  </conditionalFormatting>
  <conditionalFormatting sqref="I23">
    <cfRule type="containsText" dxfId="475" priority="476" operator="containsText" text="Pass">
      <formula>NOT(ISERROR(SEARCH("Pass", I15)))</formula>
    </cfRule>
  </conditionalFormatting>
  <conditionalFormatting sqref="I23">
    <cfRule type="containsText" dxfId="476" priority="477" operator="containsText" text="Fail">
      <formula>NOT(ISERROR(SEARCH("Fail", I15)))</formula>
    </cfRule>
  </conditionalFormatting>
  <conditionalFormatting sqref="I23">
    <cfRule type="containsText" dxfId="477" priority="478" operator="containsText" text="Block">
      <formula>NOT(ISERROR(SEARCH("Block", I15)))</formula>
    </cfRule>
  </conditionalFormatting>
  <conditionalFormatting sqref="I23">
    <cfRule type="containsText" dxfId="478" priority="479" operator="containsText" text="N/A">
      <formula>NOT(ISERROR(SEARCH("N/A", I15)))</formula>
    </cfRule>
  </conditionalFormatting>
  <conditionalFormatting sqref="I23">
    <cfRule type="containsText" dxfId="479" priority="480" operator="containsText" text="N/T">
      <formula>NOT(ISERROR(SEARCH("N/T", I15)))</formula>
    </cfRule>
  </conditionalFormatting>
  <conditionalFormatting sqref="I22">
    <cfRule type="containsText" dxfId="480" priority="481" operator="containsText" text="N/A">
      <formula>NOT(ISERROR(SEARCH("N/A", I14)))</formula>
    </cfRule>
  </conditionalFormatting>
  <conditionalFormatting sqref="I22">
    <cfRule type="containsText" dxfId="481" priority="482" operator="containsText" text="Block">
      <formula>NOT(ISERROR(SEARCH("Block", I14)))</formula>
    </cfRule>
  </conditionalFormatting>
  <conditionalFormatting sqref="I22">
    <cfRule type="containsText" dxfId="482" priority="483" operator="containsText" text="Fail">
      <formula>NOT(ISERROR(SEARCH("Fail", I14)))</formula>
    </cfRule>
  </conditionalFormatting>
  <conditionalFormatting sqref="I22">
    <cfRule type="containsText" dxfId="483" priority="484" operator="containsText" text="Pass">
      <formula>NOT(ISERROR(SEARCH("Pass", I14)))</formula>
    </cfRule>
  </conditionalFormatting>
  <conditionalFormatting sqref="I22">
    <cfRule type="containsBlanks" dxfId="484" priority="485">
      <formula>LEN(TRIM(I14))=0</formula>
    </cfRule>
  </conditionalFormatting>
  <conditionalFormatting sqref="I22">
    <cfRule type="containsText" dxfId="485" priority="486" operator="containsText" text="N/T">
      <formula>NOT(ISERROR(SEARCH("N/T", I14)))</formula>
    </cfRule>
  </conditionalFormatting>
  <conditionalFormatting sqref="I2:I7">
    <cfRule type="containsText" dxfId="486" priority="487" operator="containsText" text="N/A">
      <formula>NOT(ISERROR(SEARCH("N/A", I2)))</formula>
    </cfRule>
  </conditionalFormatting>
  <conditionalFormatting sqref="I2:I7">
    <cfRule type="containsText" dxfId="487" priority="488" operator="containsText" text="Block">
      <formula>NOT(ISERROR(SEARCH("Block", I2)))</formula>
    </cfRule>
  </conditionalFormatting>
  <conditionalFormatting sqref="I2:I7">
    <cfRule type="containsText" dxfId="488" priority="489" operator="containsText" text="Fail">
      <formula>NOT(ISERROR(SEARCH("Fail", I2)))</formula>
    </cfRule>
  </conditionalFormatting>
  <conditionalFormatting sqref="I2:I7">
    <cfRule type="containsText" dxfId="489" priority="490" operator="containsText" text="Pass">
      <formula>NOT(ISERROR(SEARCH("Pass", I2)))</formula>
    </cfRule>
  </conditionalFormatting>
  <conditionalFormatting sqref="I2:I7">
    <cfRule type="containsBlanks" dxfId="490" priority="491">
      <formula>LEN(TRIM(I2))=0</formula>
    </cfRule>
  </conditionalFormatting>
  <conditionalFormatting sqref="I2:I7">
    <cfRule type="containsText" dxfId="491" priority="492" operator="containsText" text="N/T">
      <formula>NOT(ISERROR(SEARCH("N/T", I2)))</formula>
    </cfRule>
  </conditionalFormatting>
  <conditionalFormatting sqref="Q39">
    <cfRule type="containsText" dxfId="492" priority="493" operator="containsText" text="N/A">
      <formula>NOT(ISERROR(SEARCH("N/A", Q39)))</formula>
    </cfRule>
  </conditionalFormatting>
  <conditionalFormatting sqref="Q39">
    <cfRule type="containsText" dxfId="493" priority="494" operator="containsText" text="Block">
      <formula>NOT(ISERROR(SEARCH("Block", Q39)))</formula>
    </cfRule>
  </conditionalFormatting>
  <conditionalFormatting sqref="Q39">
    <cfRule type="containsText" dxfId="494" priority="495" operator="containsText" text="Fail">
      <formula>NOT(ISERROR(SEARCH("Fail", Q39)))</formula>
    </cfRule>
  </conditionalFormatting>
  <conditionalFormatting sqref="Q39">
    <cfRule type="containsText" dxfId="495" priority="496" operator="containsText" text="Pass">
      <formula>NOT(ISERROR(SEARCH("Pass", Q39)))</formula>
    </cfRule>
  </conditionalFormatting>
  <conditionalFormatting sqref="Q39">
    <cfRule type="containsBlanks" dxfId="496" priority="497">
      <formula>LEN(TRIM(Q39))=0</formula>
    </cfRule>
  </conditionalFormatting>
  <conditionalFormatting sqref="Q39">
    <cfRule type="containsText" dxfId="497" priority="498" operator="containsText" text="N/T">
      <formula>NOT(ISERROR(SEARCH("N/T", Q39)))</formula>
    </cfRule>
  </conditionalFormatting>
  <conditionalFormatting sqref="Q41:Q44">
    <cfRule type="containsText" dxfId="498" priority="499" operator="containsText" text="N/T">
      <formula>NOT(ISERROR(SEARCH("N/T", Q41)))</formula>
    </cfRule>
  </conditionalFormatting>
  <conditionalFormatting sqref="Q41:Q44">
    <cfRule type="containsText" dxfId="499" priority="500" operator="containsText" text="N/A">
      <formula>NOT(ISERROR(SEARCH("N/A", Q41)))</formula>
    </cfRule>
  </conditionalFormatting>
  <conditionalFormatting sqref="Q41:Q44">
    <cfRule type="containsText" dxfId="500" priority="501" operator="containsText" text="Block">
      <formula>NOT(ISERROR(SEARCH("Block", Q41)))</formula>
    </cfRule>
  </conditionalFormatting>
  <conditionalFormatting sqref="Q41:Q44">
    <cfRule type="containsText" dxfId="501" priority="502" operator="containsText" text="Fail">
      <formula>NOT(ISERROR(SEARCH("Fail", Q41)))</formula>
    </cfRule>
  </conditionalFormatting>
  <conditionalFormatting sqref="Q41:Q44">
    <cfRule type="containsText" dxfId="502" priority="503" operator="containsText" text="Pass">
      <formula>NOT(ISERROR(SEARCH("Pass", Q41)))</formula>
    </cfRule>
  </conditionalFormatting>
  <conditionalFormatting sqref="Q41:Q44">
    <cfRule type="containsBlanks" dxfId="503" priority="504">
      <formula>LEN(TRIM(Q41))=0</formula>
    </cfRule>
  </conditionalFormatting>
  <conditionalFormatting sqref="A1:G1">
    <cfRule type="containsBlanks" dxfId="504" priority="505">
      <formula>LEN(TRIM(A1))=0</formula>
    </cfRule>
  </conditionalFormatting>
  <conditionalFormatting sqref="I1 I8:I13">
    <cfRule type="containsBlanks" dxfId="505" priority="506">
      <formula>LEN(TRIM(I1))=0</formula>
    </cfRule>
  </conditionalFormatting>
  <conditionalFormatting sqref="J1:L1">
    <cfRule type="containsBlanks" dxfId="506" priority="507">
      <formula>LEN(TRIM(J1))=0</formula>
    </cfRule>
  </conditionalFormatting>
  <conditionalFormatting sqref="A1:G1">
    <cfRule type="containsText" dxfId="507" priority="508" operator="containsText" text="Pass">
      <formula>NOT(ISERROR(SEARCH("Pass", A1)))</formula>
    </cfRule>
  </conditionalFormatting>
  <conditionalFormatting sqref="I8:I13">
    <cfRule type="containsText" dxfId="508" priority="509" operator="containsText" text="Pass">
      <formula>NOT(ISERROR(SEARCH("Pass", I8)))</formula>
    </cfRule>
  </conditionalFormatting>
  <conditionalFormatting sqref="J1:L1">
    <cfRule type="containsText" dxfId="509" priority="510" operator="containsText" text="Pass">
      <formula>NOT(ISERROR(SEARCH("Pass", J1)))</formula>
    </cfRule>
  </conditionalFormatting>
  <conditionalFormatting sqref="I1">
    <cfRule type="containsText" dxfId="510" priority="511" operator="containsText" text="Pass">
      <formula>NOT(ISERROR(SEARCH("Pass", I1)))</formula>
    </cfRule>
  </conditionalFormatting>
  <conditionalFormatting sqref="A1:G1">
    <cfRule type="containsText" dxfId="511" priority="512" operator="containsText" text="Fail">
      <formula>NOT(ISERROR(SEARCH("Fail", A1)))</formula>
    </cfRule>
  </conditionalFormatting>
  <conditionalFormatting sqref="I8:I13">
    <cfRule type="containsText" dxfId="512" priority="513" operator="containsText" text="Fail">
      <formula>NOT(ISERROR(SEARCH("Fail", I8)))</formula>
    </cfRule>
  </conditionalFormatting>
  <conditionalFormatting sqref="J1:L1">
    <cfRule type="containsText" dxfId="513" priority="514" operator="containsText" text="Fail">
      <formula>NOT(ISERROR(SEARCH("Fail", J1)))</formula>
    </cfRule>
  </conditionalFormatting>
  <conditionalFormatting sqref="I1">
    <cfRule type="containsText" dxfId="514" priority="515" operator="containsText" text="Fail">
      <formula>NOT(ISERROR(SEARCH("Fail", I1)))</formula>
    </cfRule>
  </conditionalFormatting>
  <conditionalFormatting sqref="A1:G1">
    <cfRule type="containsText" dxfId="515" priority="516" operator="containsText" text="Block">
      <formula>NOT(ISERROR(SEARCH("Block", A1)))</formula>
    </cfRule>
  </conditionalFormatting>
  <conditionalFormatting sqref="I8:I13">
    <cfRule type="containsText" dxfId="516" priority="517" operator="containsText" text="Block">
      <formula>NOT(ISERROR(SEARCH("Block", I8)))</formula>
    </cfRule>
  </conditionalFormatting>
  <conditionalFormatting sqref="J1:L1">
    <cfRule type="containsText" dxfId="517" priority="518" operator="containsText" text="Block">
      <formula>NOT(ISERROR(SEARCH("Block", J1)))</formula>
    </cfRule>
  </conditionalFormatting>
  <conditionalFormatting sqref="I1">
    <cfRule type="containsText" dxfId="518" priority="519" operator="containsText" text="Block">
      <formula>NOT(ISERROR(SEARCH("Block", I1)))</formula>
    </cfRule>
  </conditionalFormatting>
  <conditionalFormatting sqref="A1:G1">
    <cfRule type="containsText" dxfId="519" priority="520" operator="containsText" text="N/A">
      <formula>NOT(ISERROR(SEARCH("N/A", A1)))</formula>
    </cfRule>
  </conditionalFormatting>
  <conditionalFormatting sqref="I8:I13">
    <cfRule type="containsText" dxfId="520" priority="521" operator="containsText" text="N/A">
      <formula>NOT(ISERROR(SEARCH("N/A", I8)))</formula>
    </cfRule>
  </conditionalFormatting>
  <conditionalFormatting sqref="J1:L1">
    <cfRule type="containsText" dxfId="521" priority="522" operator="containsText" text="N/A">
      <formula>NOT(ISERROR(SEARCH("N/A", J1)))</formula>
    </cfRule>
  </conditionalFormatting>
  <conditionalFormatting sqref="I1">
    <cfRule type="containsText" dxfId="522" priority="523" operator="containsText" text="N/A">
      <formula>NOT(ISERROR(SEARCH("N/A", I1)))</formula>
    </cfRule>
  </conditionalFormatting>
  <conditionalFormatting sqref="A1:G1">
    <cfRule type="containsText" dxfId="523" priority="524" operator="containsText" text="N/T">
      <formula>NOT(ISERROR(SEARCH("N/T", A1)))</formula>
    </cfRule>
  </conditionalFormatting>
  <conditionalFormatting sqref="I1 I8:I13">
    <cfRule type="containsText" dxfId="524" priority="525" operator="containsText" text="N/T">
      <formula>NOT(ISERROR(SEARCH("N/T", I1)))</formula>
    </cfRule>
  </conditionalFormatting>
  <conditionalFormatting sqref="J1:L1">
    <cfRule type="containsText" dxfId="525" priority="526" operator="containsText" text="N/T">
      <formula>NOT(ISERROR(SEARCH("N/T", J1)))</formula>
    </cfRule>
  </conditionalFormatting>
  <printOptions>
    <extLst>
      <ext uri="smNativeData">
        <pm:pageFlags xmlns:pm="smNativeData" id="176425441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4254411" l="56" r="56" t="56" b="56" borderId="0" fillId="0" vertical="0"/>
        <pm:footer xmlns:pm="smNativeData" id="1764254411" l="56" r="56" t="56" b="56" borderId="0" fillId="0" vertical="2"/>
        <pm:paperBin xmlns:pm="smNativeData" id="1764254411" Id="0" type="0" value="0"/>
        <pm:paperBin xmlns:pm="smNativeData" id="1764254411" Id="1" type="0" value="0"/>
      </ext>
    </extLst>
  </headerFooter>
  <legacyDrawing r:id="rId2"/>
  <extLst>
    <ext uri="smNativeData">
      <pm:sheetPrefs xmlns:pm="smNativeData" day="176425441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334</v>
      </c>
    </row>
    <row r="2" spans="1:10" ht="12.75" customHeight="1">
      <c r="A2" s="10" t="s">
        <v>335</v>
      </c>
      <c r="B2" s="10" t="s">
        <v>336</v>
      </c>
      <c r="C2" s="10" t="s">
        <v>337</v>
      </c>
      <c r="D2" s="10" t="s">
        <v>32</v>
      </c>
      <c r="E2" s="10" t="s">
        <v>120</v>
      </c>
      <c r="F2" s="10" t="s">
        <v>54</v>
      </c>
      <c r="G2" s="10" t="s">
        <v>160</v>
      </c>
      <c r="H2" s="10" t="s">
        <v>15</v>
      </c>
      <c r="I2" s="10" t="s">
        <v>338</v>
      </c>
      <c r="J2" s="10" t="s">
        <v>339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0.0689655172413790041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26</v>
      </c>
      <c r="C4" s="13">
        <f>IFERROR(B4/$B$6,0)</f>
        <v>0.298850574712643979</v>
      </c>
      <c r="D4" s="12">
        <f>_xlfn.COUNTIFS(TestCase!$I:$I,"*"&amp;D$2&amp;"*",TestCase!$L:$L,$A4)</f>
        <v>25</v>
      </c>
      <c r="E4" s="12">
        <f>_xlfn.COUNTIFS(TestCase!$I:$I,"*"&amp;E$2&amp;"*",TestCase!$L:$L,$A4)</f>
        <v>0</v>
      </c>
      <c r="F4" s="12">
        <f>_xlfn.COUNTIFS(TestCase!$I:$I,"*"&amp;F$2&amp;"*",TestCase!$L:$L,$A4)</f>
        <v>1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26</v>
      </c>
      <c r="J4" s="15">
        <f>I4/B4</f>
        <v>1</v>
      </c>
    </row>
    <row r="5" spans="1:10" ht="12.75" customHeight="1">
      <c r="A5" s="11" t="s">
        <v>178</v>
      </c>
      <c r="B5" s="12">
        <f>COUNTIF(TestCase!L:L,A5)</f>
        <v>55</v>
      </c>
      <c r="C5" s="13">
        <f>IFERROR(B5/$B$6,0)</f>
        <v>0.632183908045977017</v>
      </c>
      <c r="D5" s="12">
        <f>_xlfn.COUNTIFS(TestCase!$I:$I,"*"&amp;D$2&amp;"*",TestCase!$L:$L,$A5)</f>
        <v>52</v>
      </c>
      <c r="E5" s="12">
        <f>_xlfn.COUNTIFS(TestCase!$I:$I,"*"&amp;E$2&amp;"*",TestCase!$L:$L,$A5)</f>
        <v>2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54</v>
      </c>
      <c r="J5" s="15">
        <f>I5/B5</f>
        <v>0.981818181818182012</v>
      </c>
    </row>
    <row r="6" spans="1:10" ht="12.75" customHeight="1">
      <c r="A6" s="16" t="s">
        <v>338</v>
      </c>
      <c r="B6" s="16">
        <f>SUM(B3:B5)</f>
        <v>87</v>
      </c>
      <c r="C6" s="17">
        <f>SUM(C3:C5)</f>
        <v>1</v>
      </c>
      <c r="D6" s="14">
        <f>SUM(D3:D5)</f>
        <v>77</v>
      </c>
      <c r="E6" s="14">
        <f>SUM(E3:E5)</f>
        <v>2</v>
      </c>
      <c r="F6" s="14">
        <f>SUM(F3:F5)</f>
        <v>1</v>
      </c>
      <c r="G6" s="14">
        <f>SUM(G3:G5)</f>
        <v>0</v>
      </c>
      <c r="H6" s="14">
        <f>SUM(H3:H5)</f>
        <v>6</v>
      </c>
      <c r="I6" s="14">
        <f>SUM(I3:I5)</f>
        <v>80</v>
      </c>
      <c r="J6" s="14"/>
    </row>
    <row r="7" spans="1:10" ht="12.75" customHeight="1">
      <c r="A7" s="16" t="s">
        <v>339</v>
      </c>
      <c r="B7" s="16"/>
      <c r="C7" s="16"/>
      <c r="D7" s="15">
        <f>D6/$B6</f>
        <v>0.885057471264367912</v>
      </c>
      <c r="E7" s="15">
        <f>E6/$B6</f>
        <v>0.0229885057471260001</v>
      </c>
      <c r="F7" s="15">
        <f>F6/$B6</f>
        <v>0.0114942528735630001</v>
      </c>
      <c r="G7" s="15">
        <f>G6/$B6</f>
        <v>0</v>
      </c>
      <c r="H7" s="15">
        <f>H6/$B6</f>
        <v>0.0689655172413790041</v>
      </c>
      <c r="I7" s="15">
        <f>I6/$B6</f>
        <v>0.919540229885057947</v>
      </c>
      <c r="J7" s="14"/>
    </row>
  </sheetData>
  <printOptions>
    <extLst>
      <ext uri="smNativeData">
        <pm:pageFlags xmlns:pm="smNativeData" id="176425441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4254411" l="56" r="56" t="56" b="56" borderId="0" fillId="0" vertical="0"/>
        <pm:footer xmlns:pm="smNativeData" id="1764254411" l="56" r="56" t="56" b="56" borderId="0" fillId="0" vertical="2"/>
        <pm:paperBin xmlns:pm="smNativeData" id="1764254411" Id="0" type="0" value="0"/>
        <pm:paperBin xmlns:pm="smNativeData" id="1764254411" Id="1" type="0" value="0"/>
      </ext>
    </extLst>
  </headerFooter>
  <extLst>
    <ext uri="smNativeData">
      <pm:sheetPrefs xmlns:pm="smNativeData" day="176425441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2025-11-27T14:40:11Z</dcterms:modified>
</cp:coreProperties>
</file>