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autoa"/>
  <workbookPr/>
  <bookViews>
    <workbookView activeTab="0" xWindow="240" yWindow="60" windowWidth="21600" windowHeight="11595" tabRatio="500"/>
  </bookViews>
  <sheets>
    <sheet name="TestCase" sheetId="1" r:id="rId4"/>
    <sheet name="TC MAP" sheetId="2" r:id="rId5"/>
  </sheets>
  <definedNames>
    <definedName name="머릿글" localSheetId="0">TestCase!$B$1:$K$1</definedName>
  </definedNames>
  <calcPr/>
  <extLst>
    <ext uri="smNativeData">
      <pm:revision xmlns:pm="smNativeData" day="1761576673" val="1228" rev="124" revOS="4" revMin="124" revMax="0"/>
      <pm:docPrefs xmlns:pm="smNativeData" id="1761576673" fixedDigits="0" showNotice="1" showFrameBounds="1" autoChart="1" recalcOnPrint="1" recalcOnCopy="1" finalRounding="1" compatTextArt="1" tab="567" useDefinedPrintRange="1" printArea="currentSheet"/>
      <pm:compatibility xmlns:pm="smNativeData" id="1761576673" overlapCells="1"/>
      <pm:defCurrency xmlns:pm="smNativeData" id="1761576673"/>
    </ext>
  </extLst>
</workbook>
</file>

<file path=xl/comments1.xml><?xml version="1.0" encoding="utf-8"?>
<comments xmlns="http://schemas.openxmlformats.org/spreadsheetml/2006/main">
  <authors>
    <author>Unknown</author>
  </authors>
  <commentList>
    <comment ref="A1" authorId="0">
      <text>
        <r>
          <rPr>
            <rFont val="Arial"/>
            <charset val="0"/>
            <family val="2"/>
            <sz val="10"/>
            <b val="0"/>
            <i val="0"/>
          </rPr>
          <t>케이스 번호, 카운트 용도</t>
        </r>
      </text>
    </comment>
    <comment ref="B1" authorId="0">
      <text>
        <r>
          <rPr>
            <rFont val="Arial"/>
            <charset val="0"/>
            <family val="2"/>
            <sz val="10"/>
            <b val="0"/>
            <i val="0"/>
          </rPr>
          <t>프로그램의 가장 큰단위로 나눌 수 있는 시스템 범주</t>
        </r>
      </text>
    </comment>
    <comment ref="C1" authorId="0">
      <text>
        <r>
          <rPr>
            <rFont val="Arial"/>
            <charset val="0"/>
            <family val="2"/>
            <sz val="10"/>
            <b val="0"/>
            <i val="0"/>
          </rPr>
          <t>모듈의 집합을 알기 쉽도록 명칭</t>
        </r>
      </text>
    </comment>
    <comment ref="D1" authorId="0">
      <text>
        <r>
          <rPr>
            <rFont val="Arial"/>
            <charset val="0"/>
            <family val="2"/>
            <sz val="10"/>
            <b val="0"/>
            <i val="0"/>
          </rPr>
          <t>모듈단위 분류</t>
        </r>
      </text>
    </comment>
    <comment ref="E1" authorId="0">
      <text>
        <r>
          <rPr>
            <rFont val="Arial"/>
            <charset val="0"/>
            <family val="2"/>
            <sz val="10"/>
            <b val="0"/>
            <i val="0"/>
          </rPr>
          <t>사용자가 케이스의 내용을 빠르게 파악할 수 있도록 요약함</t>
        </r>
      </text>
    </comment>
    <comment ref="F1" authorId="0">
      <text>
        <r>
          <rPr>
            <rFont val="Arial"/>
            <charset val="0"/>
            <family val="2"/>
            <sz val="10"/>
            <b val="0"/>
            <i val="0"/>
          </rPr>
          <t>실행방법 실행전 충족되야하는 조건</t>
        </r>
      </text>
    </comment>
    <comment ref="G1" authorId="0">
      <text>
        <r>
          <rPr>
            <rFont val="Arial"/>
            <charset val="0"/>
            <family val="2"/>
            <sz val="10"/>
            <b val="0"/>
            <i val="0"/>
          </rPr>
          <t>해당 케이스의 직접적인 실행 순서를 작성</t>
        </r>
      </text>
    </comment>
    <comment ref="H1" authorId="0">
      <text>
        <r>
          <rPr>
            <rFont val="Arial"/>
            <charset val="0"/>
            <family val="2"/>
            <sz val="10"/>
            <b val="0"/>
            <i val="0"/>
          </rPr>
          <t>실행 순서에 대해 기대되는 결과를 입력</t>
        </r>
      </text>
    </comment>
    <comment ref="J1" authorId="0">
      <text>
        <r>
          <rPr>
            <rFont val="Arial"/>
            <charset val="0"/>
            <family val="2"/>
            <sz val="10"/>
            <b val="0"/>
            <i val="0"/>
          </rPr>
          <t>실제로 실행 순서를 실행한 결과를 입력</t>
        </r>
      </text>
    </comment>
  </commentList>
</comments>
</file>

<file path=xl/sharedStrings.xml><?xml version="1.0" encoding="utf-8"?>
<sst xmlns="http://schemas.openxmlformats.org/spreadsheetml/2006/main" count="331" uniqueCount="240">
  <si>
    <t>No</t>
  </si>
  <si>
    <t>대분류</t>
  </si>
  <si>
    <t>중분류</t>
  </si>
  <si>
    <t>소분류</t>
  </si>
  <si>
    <t>테스트 시나리오</t>
  </si>
  <si>
    <t>테스트 조건</t>
  </si>
  <si>
    <t>실행 순서</t>
  </si>
  <si>
    <t>Pass Result</t>
  </si>
  <si>
    <t>P/F</t>
  </si>
  <si>
    <t>실제 결과</t>
  </si>
  <si>
    <t>비고</t>
  </si>
  <si>
    <t>Tag</t>
  </si>
  <si>
    <t>게임실행</t>
  </si>
  <si>
    <t>실행</t>
  </si>
  <si>
    <t>클라이언트를 실행한다</t>
  </si>
  <si>
    <t>N/T</t>
  </si>
  <si>
    <t>유니티 프로젝트에서 테스트를 진행해 아직 클라이언트 실행을 진행하지 않음</t>
  </si>
  <si>
    <t>윈도우기능</t>
  </si>
  <si>
    <t>제목/아이콘 표시</t>
  </si>
  <si>
    <t>좁은창에서 제목표시줄 내용을 확인한다</t>
  </si>
  <si>
    <t>넓은창에서 제목표시줄을 내용을 확인한다</t>
  </si>
  <si>
    <t>최소화</t>
  </si>
  <si>
    <t>윈도우를 최소화 후 복귀한다</t>
  </si>
  <si>
    <t>게임중 윈도우를 최소화 후 복귀한다</t>
  </si>
  <si>
    <t>닫기</t>
  </si>
  <si>
    <t>윈도우를 닫는다</t>
  </si>
  <si>
    <t>메뉴기능</t>
  </si>
  <si>
    <t>게임메뉴/UI</t>
  </si>
  <si>
    <t>Start</t>
  </si>
  <si>
    <t>게임을 시작한다</t>
  </si>
  <si>
    <t>메인 메뉴에 있는 Start 버튼을 눌러 시작</t>
  </si>
  <si>
    <t xml:space="preserve"> "Home" 으로 화면 전환</t>
  </si>
  <si>
    <t>Pass</t>
  </si>
  <si>
    <t>Setting</t>
  </si>
  <si>
    <t>게임의 설정매뉴에 진행함</t>
  </si>
  <si>
    <t>메인 메뉴에 혹은 게임 도중 ESC키를 눌러 접근</t>
  </si>
  <si>
    <t>화면에 Setting UI 출력</t>
  </si>
  <si>
    <t>Setting-Music</t>
  </si>
  <si>
    <t>게임의 음악볼륨을 조절한다</t>
  </si>
  <si>
    <t>1. 메인 메뉴 혹은 ESC를 눌러 Setting 메뉴 접근
2. Music(BGM)란에 있는 슬라이더를 이용해 조절</t>
  </si>
  <si>
    <t>Float 값으로 음악볼륨이 조절됨</t>
  </si>
  <si>
    <t>Setting-Effect</t>
  </si>
  <si>
    <t>게임의 효과볼륨을 조절한다</t>
  </si>
  <si>
    <t>1. 메인 메뉴 혹은 ESC를 눌러 Setting 메뉴 접근
2. Effect란에 있는 슬라이더를 이용해 조절</t>
  </si>
  <si>
    <t>Float 값으로 효과음볼륨이 조절됨</t>
  </si>
  <si>
    <t>Setting-Key</t>
  </si>
  <si>
    <t>조작법을 사용자 지정대로 변경</t>
  </si>
  <si>
    <t>1. 게임 플레이 도중 ESC를 눌러 Setting 메뉴 접근
2. Key 버튼을 눌러 Key Setting 매뉴 접근
3. 변경하고 싶은 조작란 칸을 클릭
4. 플레이어가 쓰고 싶은 키보드의 키를 입력</t>
  </si>
  <si>
    <t>인게임에서 플레이어가 지정한 
키로 변경</t>
  </si>
  <si>
    <t>Exit</t>
  </si>
  <si>
    <t>게임의 클라이언트를 종료</t>
  </si>
  <si>
    <t>1. 메인 메뉴에 있는 Exit 버튼을 눌러 선택창 접근
2. 'Yes' 혹은 'No' 버튼을 눌러 결정함</t>
  </si>
  <si>
    <t>선택에 따라 게임이 종료 됨</t>
  </si>
  <si>
    <t>N/A</t>
  </si>
  <si>
    <t>게임실행란 비고 참고</t>
  </si>
  <si>
    <t xml:space="preserve">Home 내의
조력자 NPC </t>
  </si>
  <si>
    <t>상호작용 가능여부 UI</t>
  </si>
  <si>
    <t>Home 씬에 있는 NPC 캐릭터에게 접근</t>
  </si>
  <si>
    <t>대화를 걸수 있을 상태일때 
"Press [key] to talk"이 뜸</t>
  </si>
  <si>
    <t>퀘스트 상호작용 UI 접근</t>
  </si>
  <si>
    <t>1. Home 씬에 있는 NPC 캐릭터에게 접근
2. 대화를 걸수 있을 상태일때 상호작용 키를 입력</t>
  </si>
  <si>
    <t>퀘스트 수락/거절 UI 출력</t>
  </si>
  <si>
    <t>퀘스트 수락 혹은 거절</t>
  </si>
  <si>
    <t>1. 퀘스트 수락/거절 UI 매뉴 접근
2. Yes, No 버튼을 눌러 퀘스트 수락여부를 선택</t>
  </si>
  <si>
    <t>Yes를 누를 시 스테이지 이동,
No를 누를 시 UI 종료</t>
  </si>
  <si>
    <t>미션 실패시</t>
  </si>
  <si>
    <t>퀘스트 실패 UI 출력</t>
  </si>
  <si>
    <t>적 NPC에게 제압을 당해 미션 수행이 불가해질시</t>
  </si>
  <si>
    <t>게임 오버 UI 출력</t>
  </si>
  <si>
    <t>퀘스트 재시작</t>
  </si>
  <si>
    <t xml:space="preserve">게임오버 UI가 출력될 시 재시작 버튼을 선택 </t>
  </si>
  <si>
    <t>게임을 Home에서 다시 시작</t>
  </si>
  <si>
    <t>미션 성공시</t>
  </si>
  <si>
    <t>퀘스트 성공 UI 출력</t>
  </si>
  <si>
    <t>목표를 처리 해 미션 성공을 해야함</t>
  </si>
  <si>
    <t>미션 성공 UI 출력</t>
  </si>
  <si>
    <t>홈 이동</t>
  </si>
  <si>
    <t xml:space="preserve">미션 성공 UI가 출력될 시 Home 버튼을 선택 </t>
  </si>
  <si>
    <t>무기 선택 UI</t>
  </si>
  <si>
    <t>무기 선택 UI 출력</t>
  </si>
  <si>
    <t>1. Home에 있는 무기 상자에 접근
2. 상호작용 키를 입력</t>
  </si>
  <si>
    <t>무기 선택 UI가 출력 됨</t>
  </si>
  <si>
    <t>"Gun" 선택</t>
  </si>
  <si>
    <t>"Gun" 버튼 선택</t>
  </si>
  <si>
    <t>해당 무기가 선택되며 UI 사라짐</t>
  </si>
  <si>
    <t>"CrowBar" 선택</t>
  </si>
  <si>
    <t>"CrowBar" 버튼 선택</t>
  </si>
  <si>
    <t>"</t>
  </si>
  <si>
    <t>"Bat" 선택</t>
  </si>
  <si>
    <t>"Bat" 버튼 선택</t>
  </si>
  <si>
    <t>무기 선택 필수</t>
  </si>
  <si>
    <t>무기를 골라야하는 요구 화면 출력</t>
  </si>
  <si>
    <t>무기를 미장착</t>
  </si>
  <si>
    <t>무기를 미장착한 상태에서 뭬스트 수락 버튼을 선택</t>
  </si>
  <si>
    <t>"무기를 골라야합니다" 하는 
텍스트가 출력이 됨</t>
  </si>
  <si>
    <t>인게임기능</t>
  </si>
  <si>
    <t>주인공
(플레이어)</t>
  </si>
  <si>
    <t>이동 조작</t>
  </si>
  <si>
    <t>캐릭터 이동 조작</t>
  </si>
  <si>
    <t>게임에 진입시 기본 W,A,S,D로 캐릭터 이동</t>
  </si>
  <si>
    <t>캐릭터가 상,하,좌,우 로 이동</t>
  </si>
  <si>
    <t>카메라 시점 조작</t>
  </si>
  <si>
    <t>마우스를 이동해 시점 조작</t>
  </si>
  <si>
    <t>카메라가 3인칭 시점으로 조작됨</t>
  </si>
  <si>
    <r>
      <rPr>
        <rFont val="Arial"/>
        <charset val="0"/>
        <family val="2"/>
        <sz val="9"/>
        <b val="0"/>
        <i val="0"/>
      </rPr>
      <t>자세 전환 조작 
관련</t>
    </r>
  </si>
  <si>
    <t>앉기 기능 조작</t>
  </si>
  <si>
    <t>기본 C키를 눌러 앉기 상태 전환</t>
  </si>
  <si>
    <t>앉기 상태가 토글방식으로 변경</t>
  </si>
  <si>
    <t>뛰기 기능 조작</t>
  </si>
  <si>
    <t>기본 Shift키를 눌러 뛰기 상태 전환</t>
  </si>
  <si>
    <t>뛰기 상태가 토글방식으로 변경</t>
  </si>
  <si>
    <t>앉아 걷기 조작</t>
  </si>
  <si>
    <t>앉기 상태일때</t>
  </si>
  <si>
    <t>기본 W,A,S,D로 캐릭터 이동</t>
  </si>
  <si>
    <t>기존 걷기와는 느린 속도로 이동</t>
  </si>
  <si>
    <t>공격 조작</t>
  </si>
  <si>
    <t>근접 공격</t>
  </si>
  <si>
    <t>적에게 가까이 근접</t>
  </si>
  <si>
    <t>기본 마우스 좌클릭으로 공격 실행</t>
  </si>
  <si>
    <t>공격 애니메이션 재생후 적 처리</t>
  </si>
  <si>
    <t>적군 
상호작용</t>
  </si>
  <si>
    <t>의심 상태</t>
  </si>
  <si>
    <t>적 시야 안에 들어오거나 빠른 속도로 사정거리에 
있을 시</t>
  </si>
  <si>
    <t>적의 상단에 물음표가 표시,
의심상태에 돌입</t>
  </si>
  <si>
    <t>발각 상태</t>
  </si>
  <si>
    <t>의심 상태일때</t>
  </si>
  <si>
    <t>적의 상단에 느낌표가 표시,
플레이어 추적</t>
  </si>
  <si>
    <t>플레이어 제압</t>
  </si>
  <si>
    <t>발각 상태일때</t>
  </si>
  <si>
    <t>플레이어가 적군에게 발각되어 잡힐 때</t>
  </si>
  <si>
    <t>제압 상태, 게임오버 상태 진입</t>
  </si>
  <si>
    <t>보스 처리</t>
  </si>
  <si>
    <t>1. 플레이어가 보스의 시야 범위 안에서 접근
2. 후방근접에서 공격</t>
  </si>
  <si>
    <t>보스가 처리상태가 되며 미션 성공</t>
  </si>
  <si>
    <t>보스 발각 상태</t>
  </si>
  <si>
    <t>플레이어가 보스의 시야 범위에 들어갔을 시</t>
  </si>
  <si>
    <t>물음표 표시 후 발각상태 돌입,
맵에 있는 모든 적군들이 돌진</t>
  </si>
  <si>
    <t>미션 상태</t>
  </si>
  <si>
    <t xml:space="preserve">퀘스트 실패 </t>
  </si>
  <si>
    <t>적 NPC에게 제압을 당해 미션 수행이 불가</t>
  </si>
  <si>
    <t>조작이 더 이상 불가,
미션 실패 UI 출력</t>
  </si>
  <si>
    <t>퀘스트 성공</t>
  </si>
  <si>
    <t>목표를 처리 해 미션 성공</t>
  </si>
  <si>
    <t>조작이 더 이상 불가,
미션 성공 UI 출력</t>
  </si>
  <si>
    <t xml:space="preserve">무기 선택 </t>
  </si>
  <si>
    <t>무기 선택 상자 상호작용</t>
  </si>
  <si>
    <t>1. Home에 있는 무기 상자에 접근
2. 상호작용 키 (E)를 입력</t>
  </si>
  <si>
    <t>무기 선택 화면 출력 됨</t>
  </si>
  <si>
    <t>해당 무기가 선택되며 손에 쥐여짐</t>
  </si>
  <si>
    <t>Pass: 테스트 성공</t>
  </si>
  <si>
    <t>Fail: 테스트 실패</t>
  </si>
  <si>
    <t>Fail</t>
  </si>
  <si>
    <t>Blcok: 상위테스트의 실패 등에 의해 테스트 실행할 수 없음</t>
  </si>
  <si>
    <t>Block</t>
  </si>
  <si>
    <t>퍼즐 시스템
(PuzzleTest 기준)</t>
  </si>
  <si>
    <t>dining 
퍼즐 시스템</t>
  </si>
  <si>
    <t xml:space="preserve">아이템 픽업 </t>
  </si>
  <si>
    <t xml:space="preserve">특정 아이템 (테이블 위) 앞에서 상호작용키 (e) </t>
  </si>
  <si>
    <t>해당 아이템을 인벤토리에 추가</t>
  </si>
  <si>
    <t>N/A: 환경등의 이유로 테스트 실행 불가능</t>
  </si>
  <si>
    <t xml:space="preserve">아이템 인벤토리 </t>
  </si>
  <si>
    <t>Dining 용 테이블 오브젝트에 상호작용키 (e)</t>
  </si>
  <si>
    <t>인벤토리 UI를 출력</t>
  </si>
  <si>
    <t>N/T: 테스트 실행되지 않음</t>
  </si>
  <si>
    <t>아이템 적용</t>
  </si>
  <si>
    <t>아이템이 인벤토리에
있는 경우</t>
  </si>
  <si>
    <t>인벤토리 UI에서 원하는 아이템을 고른 후 결정버튼 선택</t>
  </si>
  <si>
    <t>테이블에 해당 아이템이 세팅</t>
  </si>
  <si>
    <t>아이템 적용 취소</t>
  </si>
  <si>
    <t>아이템이 테이블에 이미
설치 되있는 경우</t>
  </si>
  <si>
    <t xml:space="preserve">인벤토리 UI에서 취소(RE) 버튼을 선택 </t>
  </si>
  <si>
    <t>해당 아이템이 다시 인벤토리에 추가</t>
  </si>
  <si>
    <t>laundry
퍼즐 시스템</t>
  </si>
  <si>
    <t>퍼즐 화면 진입</t>
  </si>
  <si>
    <t xml:space="preserve">해당 퍼즐 구간에서 상호작용키 (e) </t>
  </si>
  <si>
    <t>카메라가 퍼즐에 집중됨</t>
  </si>
  <si>
    <t>벨브 오브젝트 돌리기</t>
  </si>
  <si>
    <t>퍼즐에 상호작용 후</t>
  </si>
  <si>
    <t xml:space="preserve">벨브 오브젝트 (파란 블록) 에 마우스 좌클릭 </t>
  </si>
  <si>
    <t>벨브가 돌아가며 퍼즐 형성</t>
  </si>
  <si>
    <t>퍼즐 성공</t>
  </si>
  <si>
    <t>퍼즐을 성공했을 시</t>
  </si>
  <si>
    <t>파이프를 제대로 정렬하고 물 스위치를 눌렀을 시</t>
  </si>
  <si>
    <t>성공 사운드가 재생되고 클리어</t>
  </si>
  <si>
    <t>foyer
퍼즐 시스템</t>
  </si>
  <si>
    <t xml:space="preserve">퍼즐 진입 후 타일을 마우스로 상호작용 </t>
  </si>
  <si>
    <t>드래그 해서 타일을 이동 가능</t>
  </si>
  <si>
    <t>drawing
퍼즐 시스템</t>
  </si>
  <si>
    <t>라이터 줍기</t>
  </si>
  <si>
    <t>라이터 오브젝트 (큐브)에 다가가 상호작용 키 (E)</t>
  </si>
  <si>
    <t>라이터를 획득하며 촛불 상호작용 가능</t>
  </si>
  <si>
    <t>촛불 불 붙이기</t>
  </si>
  <si>
    <t>라이터를 
주웠을시</t>
  </si>
  <si>
    <t xml:space="preserve">촛불에 가까이 접근해 상호작용 키 (E)  </t>
  </si>
  <si>
    <t>촛불에 불이 붙여지는 상태가 된다</t>
  </si>
  <si>
    <t>촛불 퍼즐 성공</t>
  </si>
  <si>
    <t xml:space="preserve">촛불의 순서를 제대로 켰을 시 </t>
  </si>
  <si>
    <t>성공 사운드가 재생되며 퍼즐 클리어</t>
  </si>
  <si>
    <t>Study 퍼즐</t>
  </si>
  <si>
    <t>책 수집</t>
  </si>
  <si>
    <t>1.책장에 가까이 접근해 상호작용키로 메뉴 접근
2. 마우스 키로 원하는 책 오브젝트를 클릭</t>
  </si>
  <si>
    <t>책이 인벤토리에 추가됨</t>
  </si>
  <si>
    <t>책 슬롯에 책 배치</t>
  </si>
  <si>
    <t>책을 수집했을시</t>
  </si>
  <si>
    <t>1.책장 슬롯에 가까이 접근해 상호작용키로 메뉴 접근
2. 마우스 키로 인벤토리의 책을 선택해 배치</t>
  </si>
  <si>
    <t>책이 좌측부터 순서대로 배치됨</t>
  </si>
  <si>
    <t>메뉴 나가기</t>
  </si>
  <si>
    <t>책 퍼즐 매뉴 진입시</t>
  </si>
  <si>
    <t>ESC키를 눌러 메뉴를 나가기 시도</t>
  </si>
  <si>
    <t>퍼즐 매뉴에서 나가진다</t>
  </si>
  <si>
    <t>퍼즐 성공 ( 클리어 루트)</t>
  </si>
  <si>
    <t>정석패턴</t>
  </si>
  <si>
    <t>정석인 패턴으로 슬롯에 책을 배치함</t>
  </si>
  <si>
    <t>퍼즐이 클리어 상태가 됨</t>
  </si>
  <si>
    <t>책 인벤토리 Ui에 책이 나오지 않음</t>
  </si>
  <si>
    <t>퍼즐 성공 ( 비밀통로 루트)</t>
  </si>
  <si>
    <t>숨겨진 패턴으로 책을
슬롯에 배치</t>
  </si>
  <si>
    <t>숨겨진 패턴으로 책을 슬롯에 배치함</t>
  </si>
  <si>
    <t>퍼즐이 클리어 상태가 되며 통로가 열림</t>
  </si>
  <si>
    <t>Dress 퍼즐</t>
  </si>
  <si>
    <t>다이얼 매뉴 진입</t>
  </si>
  <si>
    <t>다이얼 오브젝트에 접근 후 상호작용키 (E)</t>
  </si>
  <si>
    <t>다이얼 메뉴 진입</t>
  </si>
  <si>
    <t>다이얼 비밀번호 입력</t>
  </si>
  <si>
    <t>다이얼 매뉴 진입시</t>
  </si>
  <si>
    <t>숫자 구간을 마우스로 클릭</t>
  </si>
  <si>
    <t>숫자가 0에서 9까지 변경됨</t>
  </si>
  <si>
    <t xml:space="preserve">비밀번호 오답 </t>
  </si>
  <si>
    <t>비밀번호를 잘못 적었을 시</t>
  </si>
  <si>
    <t>오답을 알려주는 사운드가 재생</t>
  </si>
  <si>
    <t>비밀번호 정답</t>
  </si>
  <si>
    <t>비밀번호를 제대로 적었을 시</t>
  </si>
  <si>
    <t>정답을 알려주는 사운드 재생 후 클리어 상태가 됨</t>
  </si>
  <si>
    <t>퍼즐의 정답을 알려주는 힌트등을 알기 힘들어 
확인여부 불가</t>
  </si>
  <si>
    <t>테스트케이스 현황</t>
  </si>
  <si>
    <t>분류</t>
  </si>
  <si>
    <t>개수</t>
  </si>
  <si>
    <t>비율</t>
  </si>
  <si>
    <t>Total</t>
  </si>
  <si>
    <t>Total(%)</t>
  </si>
</sst>
</file>

<file path=xl/styles.xml><?xml version="1.0" encoding="utf-8"?>
<styleSheet xmlns="http://schemas.openxmlformats.org/spreadsheetml/2006/main">
  <numFmts count="10">
    <numFmt numFmtId="5" formatCode="#,##0\ &quot;₩&quot;;\-#,##0\ &quot;₩&quot;"/>
    <numFmt numFmtId="6" formatCode="#,##0\ &quot;₩&quot;;[Red]\-#,##0\ &quot;₩&quot;"/>
    <numFmt numFmtId="7" formatCode="#,##0.00\ &quot;₩&quot;;\-#,##0.00\ &quot;₩&quot;"/>
    <numFmt numFmtId="8" formatCode="#,##0.00\ &quot;₩&quot;;[Red]\-#,##0.00\ &quot;₩&quot;"/>
    <numFmt numFmtId="42" formatCode="_-* #,##0\ &quot;₩&quot;_-;\-* #,##0\ &quot;₩&quot;_-;_-* &quot;-&quot;\ &quot;₩&quot;_-;_-@_-"/>
    <numFmt numFmtId="41" formatCode="_-* #,##0\ _₩_-;\-* #,##0\ _₩_-;_-* &quot;-&quot;\ _₩_-;_-@_-"/>
    <numFmt numFmtId="44" formatCode="_-* #,##0.00\ &quot;₩&quot;_-;\-* #,##0.00\ &quot;₩&quot;_-;_-* &quot;-&quot;??\ &quot;₩&quot;_-;_-@_-"/>
    <numFmt numFmtId="43" formatCode="_-* #,##0.00\ _₩_-;\-* #,##0.00\ _₩_-;_-* &quot;-&quot;??\ _₩_-;_-@_-"/>
    <numFmt numFmtId="9" formatCode="0%"/>
    <numFmt numFmtId="10" formatCode="0.00%"/>
  </numFmts>
  <fonts count="8">
    <font>
      <name val="Arial"/>
      <family val="2"/>
      <color rgb="FF000000"/>
      <sz val="10"/>
      <extLst>
        <ext uri="smNativeData">
          <pm:charSpec xmlns:pm="smNativeData" id="1761576673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Verdana"/>
      <family val="2"/>
      <b/>
      <color rgb="FF000000"/>
      <sz val="9"/>
      <extLst>
        <ext uri="smNativeData">
          <pm:charSpec xmlns:pm="smNativeData" id="1761576673" ulstyle="none" kern="1">
            <pm:latin face="Verdana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Verdana"/>
      <family val="2"/>
      <color rgb="FF000000"/>
      <sz val="9"/>
      <extLst>
        <ext uri="smNativeData">
          <pm:charSpec xmlns:pm="smNativeData" id="1761576673" ulstyle="none" kern="1">
            <pm:latin face="Verdana" sz="180" lang="default"/>
            <pm:cs face="Times New Roman" sz="180" lang="default"/>
            <pm:ea face="SimSun" sz="180" lang="default"/>
          </pm:charSpec>
        </ext>
      </extLst>
    </font>
    <font>
      <name val="굴림"/>
      <charset val="129"/>
      <family val="3"/>
      <b/>
      <color rgb="FF000000"/>
      <sz val="9"/>
      <extLst>
        <ext uri="smNativeData">
          <pm:charSpec xmlns:pm="smNativeData" id="1761576673" ulstyle="none" kern="1">
            <pm:latin face="굴림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굴림"/>
      <charset val="129"/>
      <family val="3"/>
      <b/>
      <color rgb="FFFFFFFF"/>
      <sz val="9"/>
      <extLst>
        <ext uri="smNativeData">
          <pm:charSpec xmlns:pm="smNativeData" id="1761576673" fgClr="FFFFFF" ulstyle="none" kern="1">
            <pm:latin face="굴림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굴림"/>
      <charset val="129"/>
      <family val="3"/>
      <color rgb="FF000000"/>
      <sz val="9"/>
      <extLst>
        <ext uri="smNativeData">
          <pm:charSpec xmlns:pm="smNativeData" id="1761576673" ulstyle="none" kern="1">
            <pm:latin face="굴림" sz="180" lang="default"/>
            <pm:cs face="Times New Roman" sz="180" lang="default"/>
            <pm:ea face="SimSun" sz="180" lang="default"/>
          </pm:charSpec>
        </ext>
      </extLst>
    </font>
    <font>
      <name val="Arial"/>
      <family val="2"/>
      <color rgb="FF000000"/>
      <sz val="9"/>
      <extLst>
        <ext uri="smNativeData">
          <pm:charSpec xmlns:pm="smNativeData" id="1761576673" ulstyle="none" kern="1">
            <pm:latin face="Arial" sz="180" lang="default"/>
            <pm:cs face="Times New Roman" sz="200" lang="default"/>
            <pm:ea face="SimSun" sz="200" lang="default"/>
          </pm:charSpec>
        </ext>
      </extLst>
    </font>
    <font>
      <name val="Arial"/>
      <family val="2"/>
      <color rgb="FF000000"/>
      <sz val="8"/>
      <extLst>
        <ext uri="smNativeData">
          <pm:charSpec xmlns:pm="smNativeData" id="1761576673" ulstyle="none" kern="1">
            <pm:latin face="Arial" sz="160" lang="default"/>
            <pm:cs face="Times New Roman" sz="200" lang="default"/>
            <pm:ea face="SimSun" sz="200" lang="default"/>
          </pm:charSpec>
        </ext>
      </extLst>
    </font>
  </fonts>
  <fills count="23">
    <fill>
      <patternFill patternType="none"/>
    </fill>
    <fill>
      <patternFill patternType="gray125"/>
    </fill>
    <fill>
      <patternFill patternType="solid">
        <fgColor rgb="FFB7B7B7"/>
        <bgColor rgb="FFFFFFFF"/>
        <extLst>
          <ext uri="smNativeData">
            <pm:shade xmlns:pm="smNativeData" id="1761576673" type="1" fgLvl="100" fgClr="00B7B7B7" bgLvl="0" bgClr="00B7B7B7"/>
          </ext>
        </extLst>
      </patternFill>
    </fill>
    <fill>
      <patternFill patternType="solid">
        <fgColor rgb="FFB7B7B7"/>
        <bgColor rgb="FFFFFFFF"/>
        <extLst>
          <ext uri="smNativeData">
            <pm:shade xmlns:pm="smNativeData" id="1761576673" type="1" fgLvl="100" fgClr="00B7B7B7" bgLvl="0" bgClr="00B7B7B7"/>
          </ext>
        </extLst>
      </patternFill>
    </fill>
    <fill>
      <patternFill patternType="none"/>
    </fill>
    <fill>
      <patternFill patternType="none"/>
    </fill>
    <fill>
      <patternFill patternType="solid">
        <fgColor rgb="FF000000"/>
        <bgColor rgb="FFFFFFFF"/>
        <extLst>
          <ext uri="smNativeData">
            <pm:shade xmlns:pm="smNativeData" id="1761576673" type="1" fgLvl="100" fgClr="00000000" bgLvl="0" bgClr="00000000"/>
          </ext>
        </extLst>
      </patternFill>
    </fill>
    <fill>
      <patternFill patternType="solid">
        <fgColor rgb="FFEFEFEF"/>
        <bgColor rgb="FFFFFFFF"/>
        <extLst>
          <ext uri="smNativeData">
            <pm:shade xmlns:pm="smNativeData" id="1761576673" type="1" fgLvl="100" fgClr="00EFEFEF" bgLvl="0" bgClr="00EFEFEF"/>
          </ext>
        </extLst>
      </patternFill>
    </fill>
    <fill>
      <patternFill patternType="solid">
        <fgColor rgb="FFCFE2F3"/>
        <bgColor rgb="FFFFFFFF"/>
        <extLst>
          <ext uri="smNativeData">
            <pm:shade xmlns:pm="smNativeData" id="1761576673" type="1" fgLvl="100" fgClr="00CFE2F3" bgLvl="0" bgClr="00CFE2F3"/>
          </ext>
        </extLst>
      </patternFill>
    </fill>
    <fill>
      <patternFill patternType="solid">
        <fgColor rgb="FF9FC5E8"/>
        <bgColor rgb="FFFFFFFF"/>
        <extLst>
          <ext uri="smNativeData">
            <pm:shade xmlns:pm="smNativeData" id="1761576673" type="1" fgLvl="100" fgClr="009FC5E8" bgLvl="0" bgClr="009FC5E8"/>
          </ext>
        </extLst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FF"/>
        <bgColor rgb="FFFFFFFF"/>
        <extLst>
          <ext uri="smNativeData">
            <pm:shade xmlns:pm="smNativeData" id="1761576673" type="1" fgLvl="100" fgClr="00FFFFFF" bgLvl="100" bgClr="00000000"/>
          </ext>
        </extLst>
      </patternFill>
    </fill>
    <fill>
      <patternFill patternType="none"/>
    </fill>
  </fills>
  <borders count="22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1576673"/>
        </ext>
      </extLst>
    </border>
    <border>
      <left style="thin">
        <color rgb="FFF3F3F3"/>
      </left>
      <right style="thin">
        <color rgb="FFF3F3F3"/>
      </right>
      <top style="thin">
        <color rgb="FFF3F3F3"/>
      </top>
      <bottom style="none">
        <color rgb="FF000000"/>
      </bottom>
      <extLst>
        <ext uri="smNativeData">
          <pm:border xmlns:pm="smNativeData" id="1761576673">
            <pm:line position="top" type="1" style="0" width="20" dist="20" width2="20" rgb="F3F3F3"/>
            <pm:line position="left" type="1" style="0" width="20" dist="20" width2="20" rgb="F3F3F3"/>
            <pm:line position="right" type="1" style="0" width="20" dist="20" width2="20" rgb="F3F3F3"/>
          </pm:border>
        </ext>
      </extLst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  <extLst>
        <ext uri="smNativeData">
          <pm:border xmlns:pm="smNativeData" id="1761576673">
            <pm:line position="top" type="1" style="0" width="20" dist="20" width2="20" rgb="F3F3F3"/>
            <pm:line position="bottom" type="1" style="0" width="20" dist="20" width2="20" rgb="F3F3F3"/>
            <pm:line position="left" type="1" style="0" width="20" dist="20" width2="20" rgb="F3F3F3"/>
            <pm:line position="right" type="1" style="0" width="20" dist="20" width2="20" rgb="F3F3F3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1576673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thin">
        <color rgb="FFF3F3F3"/>
      </right>
      <top style="thin">
        <color rgb="FFF3F3F3"/>
      </top>
      <bottom style="thin">
        <color rgb="FFF3F3F3"/>
      </bottom>
      <extLst>
        <ext uri="smNativeData">
          <pm:border xmlns:pm="smNativeData" id="1761576673">
            <pm:line position="top" type="1" style="0" width="20" dist="20" width2="20" rgb="F3F3F3"/>
            <pm:line position="bottom" type="1" style="0" width="20" dist="20" width2="20" rgb="F3F3F3"/>
            <pm:line position="right" type="1" style="0" width="20" dist="20" width2="20" rgb="F3F3F3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15766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15766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15766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1576673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1576673">
            <pm:line position="top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1576673"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1576673"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1576673">
            <pm:line position="bottom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1576673">
            <pm:line position="lef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1576673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1576673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1576673">
            <pm:line position="top" type="1" style="0" width="20" dist="20" width2="20" rgb="000000"/>
            <pm:line position="lef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1576673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1576673"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1576673">
            <pm:line position="top" type="1" style="0" width="20" dist="20" width2="20" rgb="000000"/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1576673"/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1576673">
            <pm:line position="top" type="1" style="0" width="20" dist="20" width2="20" rgb="000000"/>
            <pm:line position="right" type="1" style="0" width="20" dist="20" width2="20" rgb="000000"/>
          </pm:border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8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0" fontId="2" fillId="0" borderId="3" xfId="0" applyFont="1" applyBorder="1" applyAlignment="1">
      <alignment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wrapText="1"/>
    </xf>
    <xf numFmtId="0" fontId="3" fillId="0" borderId="0" xfId="0" applyFont="1" applyAlignment="1">
      <alignment wrapText="1"/>
    </xf>
    <xf numFmtId="0" fontId="4" fillId="6" borderId="5" xfId="0" applyFont="1" applyFill="1" applyAlignment="1">
      <alignment wrapText="1"/>
    </xf>
    <xf numFmtId="0" fontId="5" fillId="7" borderId="6" xfId="0" applyFont="1" applyFill="1" applyAlignment="1">
      <alignment wrapText="1"/>
    </xf>
    <xf numFmtId="0" fontId="5" fillId="0" borderId="0" xfId="0" applyFont="1" applyAlignment="1">
      <alignment wrapText="1"/>
    </xf>
    <xf numFmtId="9" fontId="5" fillId="0" borderId="0" xfId="0" applyNumberFormat="1" applyFont="1" applyAlignment="1">
      <alignment wrapText="1"/>
    </xf>
    <xf numFmtId="0" fontId="5" fillId="8" borderId="7" xfId="0" applyFont="1" applyFill="1" applyAlignment="1">
      <alignment wrapText="1"/>
    </xf>
    <xf numFmtId="9" fontId="5" fillId="8" borderId="7" xfId="0" applyNumberFormat="1" applyFont="1" applyFill="1" applyAlignment="1">
      <alignment wrapText="1"/>
    </xf>
    <xf numFmtId="0" fontId="5" fillId="9" borderId="8" xfId="0" applyFont="1" applyFill="1" applyAlignment="1">
      <alignment wrapText="1"/>
    </xf>
    <xf numFmtId="10" fontId="5" fillId="9" borderId="8" xfId="0" applyNumberFormat="1" applyFont="1" applyFill="1" applyAlignment="1">
      <alignment wrapText="1"/>
    </xf>
    <xf numFmtId="0" fontId="2" fillId="0" borderId="9" xfId="0" applyFont="1" applyBorder="1" applyAlignment="1">
      <alignment horizontal="center" vertical="center" wrapText="1"/>
    </xf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  <xf numFmtId="0" fontId="0" fillId="0" borderId="11" xfId="0" applyBorder="1" applyAlignment="1">
      <alignment horizontal="center" vertical="center" wrapText="1"/>
    </xf>
    <xf numFmtId="0" fontId="0" fillId="0" borderId="3" xfId="0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6" fillId="0" borderId="1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0" xfId="0" applyFont="1" applyBorder="1" applyAlignment="1">
      <alignment wrapText="1"/>
    </xf>
    <xf numFmtId="0" fontId="6" fillId="0" borderId="15" xfId="0" applyFont="1" applyBorder="1"/>
    <xf numFmtId="0" fontId="0" fillId="0" borderId="12" xfId="0" applyBorder="1"/>
    <xf numFmtId="0" fontId="6" fillId="0" borderId="12" xfId="0" applyFont="1" applyBorder="1" applyAlignment="1">
      <alignment wrapText="1"/>
    </xf>
    <xf numFmtId="0" fontId="6" fillId="0" borderId="15" xfId="0" applyFont="1" applyBorder="1" applyAlignment="1">
      <alignment wrapText="1"/>
    </xf>
    <xf numFmtId="0" fontId="6" fillId="0" borderId="12" xfId="0" applyFont="1" applyBorder="1"/>
    <xf numFmtId="0" fontId="6" fillId="0" borderId="11" xfId="0" applyFont="1" applyBorder="1" applyAlignment="1">
      <alignment horizontal="center" vertical="center" wrapText="1"/>
    </xf>
    <xf numFmtId="0" fontId="6" fillId="0" borderId="10" xfId="0" applyFont="1" applyBorder="1"/>
    <xf numFmtId="0" fontId="6" fillId="0" borderId="11" xfId="0" applyFont="1" applyBorder="1"/>
    <xf numFmtId="0" fontId="2" fillId="0" borderId="17" xfId="0" applyFont="1" applyBorder="1" applyAlignment="1">
      <alignment horizontal="center" vertical="center" wrapText="1"/>
    </xf>
    <xf numFmtId="0" fontId="6" fillId="0" borderId="0" xfId="0" applyFont="1"/>
    <xf numFmtId="0" fontId="7" fillId="0" borderId="18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/>
    <xf numFmtId="0" fontId="6" fillId="0" borderId="19" xfId="0" applyFont="1" applyBorder="1"/>
    <xf numFmtId="0" fontId="2" fillId="0" borderId="19" xfId="0" applyFont="1" applyBorder="1" applyAlignment="1">
      <alignment horizontal="center" vertical="center" wrapText="1"/>
    </xf>
    <xf numFmtId="0" fontId="0" fillId="0" borderId="11" xfId="0" applyBorder="1"/>
    <xf numFmtId="0" fontId="0" fillId="0" borderId="10" xfId="0" applyBorder="1"/>
    <xf numFmtId="0" fontId="6" fillId="0" borderId="18" xfId="0" applyFont="1" applyBorder="1" applyAlignment="1">
      <alignment horizontal="center" vertical="center" wrapText="1"/>
    </xf>
    <xf numFmtId="0" fontId="6" fillId="0" borderId="19" xfId="0" applyFont="1" applyBorder="1" applyAlignment="1">
      <alignment wrapText="1"/>
    </xf>
    <xf numFmtId="0" fontId="6" fillId="0" borderId="3" xfId="0" applyFont="1" applyBorder="1"/>
    <xf numFmtId="0" fontId="6" fillId="0" borderId="3" xfId="0" applyFont="1" applyBorder="1" applyAlignment="1">
      <alignment wrapText="1"/>
    </xf>
    <xf numFmtId="0" fontId="6" fillId="0" borderId="17" xfId="0" applyFont="1" applyBorder="1"/>
    <xf numFmtId="0" fontId="6" fillId="0" borderId="0" xfId="0" applyFont="1" applyAlignment="1">
      <alignment wrapText="1"/>
    </xf>
    <xf numFmtId="0" fontId="6" fillId="0" borderId="0" xfId="0" applyFont="1"/>
    <xf numFmtId="0" fontId="2" fillId="0" borderId="21" xfId="0" applyFont="1" applyBorder="1" applyAlignment="1">
      <alignment horizontal="center" vertical="center" wrapText="1"/>
    </xf>
    <xf numFmtId="0" fontId="0" fillId="0" borderId="18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0" xfId="0" applyAlignment="1">
      <alignment wrapText="1"/>
    </xf>
    <xf numFmtId="0" fontId="0" fillId="0" borderId="12" xfId="0" applyBorder="1" applyAlignment="1">
      <alignment wrapText="1"/>
    </xf>
    <xf numFmtId="0" fontId="0" fillId="0" borderId="18" xfId="0" applyBorder="1"/>
    <xf numFmtId="0" fontId="0" fillId="0" borderId="15" xfId="0" applyBorder="1"/>
    <xf numFmtId="0" fontId="6" fillId="0" borderId="15" xfId="0" applyFont="1" applyBorder="1"/>
    <xf numFmtId="0" fontId="6" fillId="0" borderId="10" xfId="0" applyFont="1" applyBorder="1"/>
    <xf numFmtId="0" fontId="0" fillId="0" borderId="3" xfId="0" applyBorder="1"/>
    <xf numFmtId="0" fontId="0" fillId="0" borderId="18" xfId="0" applyBorder="1"/>
    <xf numFmtId="0" fontId="0" fillId="0" borderId="15" xfId="0" applyBorder="1"/>
    <xf numFmtId="0" fontId="6" fillId="0" borderId="15" xfId="0" applyFont="1" applyBorder="1"/>
    <xf numFmtId="0" fontId="6" fillId="0" borderId="10" xfId="0" applyFont="1" applyBorder="1"/>
    <xf numFmtId="0" fontId="6" fillId="0" borderId="19" xfId="0" applyFont="1" applyBorder="1"/>
    <xf numFmtId="0" fontId="6" fillId="0" borderId="3" xfId="0" applyFont="1" applyBorder="1" applyAlignment="1">
      <alignment wrapText="1"/>
    </xf>
    <xf numFmtId="0" fontId="6" fillId="0" borderId="13" xfId="0" applyFont="1" applyBorder="1" applyAlignment="1">
      <alignment horizontal="center" vertical="center"/>
    </xf>
    <xf numFmtId="0" fontId="0" fillId="0" borderId="14" xfId="0" applyBorder="1"/>
    <xf numFmtId="0" fontId="0" fillId="0" borderId="13" xfId="0" applyBorder="1"/>
    <xf numFmtId="0" fontId="0" fillId="0" borderId="14" xfId="0" applyBorder="1"/>
    <xf numFmtId="0" fontId="0" fillId="0" borderId="3" xfId="0" applyBorder="1" applyAlignment="1">
      <alignment wrapText="1"/>
    </xf>
    <xf numFmtId="0" fontId="0" fillId="0" borderId="17" xfId="0" applyBorder="1"/>
    <xf numFmtId="0" fontId="0" fillId="0" borderId="17" xfId="0" applyBorder="1"/>
    <xf numFmtId="0" fontId="0" fillId="0" borderId="17" xfId="0" applyBorder="1"/>
    <xf numFmtId="0" fontId="0" fillId="0" borderId="17" xfId="0" applyBorder="1"/>
    <xf numFmtId="0" fontId="6" fillId="0" borderId="14" xfId="0" applyFont="1" applyBorder="1"/>
    <xf numFmtId="0" fontId="6" fillId="0" borderId="19" xfId="0" applyFont="1" applyBorder="1" applyAlignment="1">
      <alignment wrapText="1"/>
    </xf>
    <xf numFmtId="0" fontId="6" fillId="0" borderId="17" xfId="0" applyFont="1" applyBorder="1"/>
    <xf numFmtId="0" fontId="0" fillId="0" borderId="15" xfId="0" applyBorder="1"/>
    <xf numFmtId="0" fontId="6" fillId="0" borderId="14" xfId="0" applyFont="1" applyBorder="1"/>
    <xf numFmtId="0" fontId="6" fillId="0" borderId="0" xfId="0" applyFont="1"/>
  </cellXfs>
  <cellStyles count="1">
    <cellStyle name="Normal" xfId="0" builtinId="0" customBuiltin="1"/>
  </cellStyles>
  <dxfs count="346"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1576673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0000FF"/>
        <extLst>
          <ext uri="smNativeData">
            <pm:charSpec xmlns:pm="smNativeData" id="1761576673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073763"/>
        <extLst>
          <ext uri="smNativeData">
            <pm:charSpec xmlns:pm="smNativeData" id="1761576673" fgClr="073763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1576673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FF0000"/>
        <extLst>
          <ext uri="smNativeData">
            <pm:charSpec xmlns:pm="smNativeData" id="1761576673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660000"/>
        <extLst>
          <ext uri="smNativeData">
            <pm:charSpec xmlns:pm="smNativeData" id="1761576673" fgClr="66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1576673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9900FF"/>
        <extLst>
          <ext uri="smNativeData">
            <pm:charSpec xmlns:pm="smNativeData" id="1761576673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20124D"/>
        <extLst>
          <ext uri="smNativeData">
            <pm:charSpec xmlns:pm="smNativeData" id="1761576673" fgClr="20124D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1576673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FF9900"/>
        <extLst>
          <ext uri="smNativeData">
            <pm:charSpec xmlns:pm="smNativeData" id="1761576673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783F04"/>
        <extLst>
          <ext uri="smNativeData">
            <pm:charSpec xmlns:pm="smNativeData" id="1761576673" fgClr="783F04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1576673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  <dxf>
      <font>
        <color rgb="FF000000"/>
        <extLst>
          <ext uri="smNativeData">
            <pm:charSpec xmlns:pm="smNativeData" id="1761576673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1576673" type="1" fgLvl="100" fgClr="00EFEFEF" bgLvl="0" bgClr="00EFEFEF"/>
            </ext>
          </extLst>
        </patternFill>
      </fill>
    </dxf>
  </dxfs>
  <tableStyles count="0"/>
  <extLst>
    <ext uri="smNativeData">
      <pm:charStyles xmlns:pm="smNativeData" id="1761576673" count="1">
        <pm:charStyle name="보통" fontId="0" Id="1"/>
      </pm:charStyles>
      <pm:colors xmlns:pm="smNativeData" id="1761576673" count="14">
        <pm:color name="색: 24" rgb="B7B7B7"/>
        <pm:color name="색: 25" rgb="EFEFEF"/>
        <pm:color name="색: 26" rgb="CFE2F3"/>
        <pm:color name="색: 27" rgb="9FC5E8"/>
        <pm:color name="색: 28" rgb="F3F3F3"/>
        <pm:color name="색: 29" rgb="FF9900"/>
        <pm:color name="색: 30" rgb="FCE5CD"/>
        <pm:color name="색: 31" rgb="9900FF"/>
        <pm:color name="색: 32" rgb="D9D2E9"/>
        <pm:color name="색: 33" rgb="F4CCCC"/>
        <pm:color name="색: 34" rgb="783F04"/>
        <pm:color name="색: 35" rgb="20124D"/>
        <pm:color name="색: 36" rgb="660000"/>
        <pm:color name="색: 37" rgb="073763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Arial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?xml version="1.0" encoding="UTF-8" standalone="yes" 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outlinePr summaryRight="0" summaryBelow="0"/>
  </sheetPr>
  <dimension ref="A1:Q63"/>
  <sheetViews>
    <sheetView tabSelected="1" view="normal" topLeftCell="B1" zoomScale="110" workbookViewId="0">
      <pane ySplit="1" topLeftCell="A44" activePane="bottomLeft" state="frozen"/>
      <selection pane="bottomLeft" activeCell="J60" sqref="J60"/>
    </sheetView>
  </sheetViews>
  <sheetFormatPr baseColWidth="11" defaultColWidth="12.567568" defaultRowHeight="12.75" customHeight="1"/>
  <cols>
    <col min="1" max="1" width="2.855856" customWidth="1"/>
    <col min="5" max="5" width="25.144144" customWidth="1"/>
    <col min="7" max="7" width="39.423423" customWidth="1"/>
    <col min="8" max="8" width="25.144144" customWidth="1"/>
    <col min="9" max="9" width="5.144144" customWidth="1"/>
    <col min="10" max="10" width="18.855856" customWidth="1"/>
    <col min="12" max="12" width="15.144144" customWidth="1"/>
  </cols>
  <sheetData>
    <row r="1" spans="1:12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spans="1:12" ht="12.75" customHeight="1">
      <c r="A2" s="3">
        <f>ROW()-2</f>
        <v>0</v>
      </c>
      <c r="B2" s="18" t="s">
        <v>12</v>
      </c>
      <c r="C2" s="3" t="s">
        <v>13</v>
      </c>
      <c r="D2" s="3" t="s">
        <v>12</v>
      </c>
      <c r="E2" s="4" t="s">
        <v>14</v>
      </c>
      <c r="F2" s="5"/>
      <c r="G2" s="5"/>
      <c r="H2" s="5"/>
      <c r="I2" s="3" t="s">
        <v>15</v>
      </c>
      <c r="J2" s="5"/>
      <c r="K2" s="5" t="s">
        <v>16</v>
      </c>
      <c r="L2" s="6" t="str">
        <f>IF(B2="",L1,B2)</f>
        <v>게임실행</v>
      </c>
    </row>
    <row r="3" spans="1:12" ht="12.75" customHeight="1">
      <c r="A3" s="3">
        <f>ROW()-2</f>
        <v>1</v>
      </c>
      <c r="B3" s="20"/>
      <c r="C3" s="18" t="s">
        <v>17</v>
      </c>
      <c r="D3" s="18" t="s">
        <v>18</v>
      </c>
      <c r="E3" s="7" t="s">
        <v>19</v>
      </c>
      <c r="F3" s="8"/>
      <c r="G3" s="8"/>
      <c r="H3" s="8"/>
      <c r="I3" s="3" t="s">
        <v>15</v>
      </c>
      <c r="J3" s="8"/>
      <c r="K3" s="8"/>
      <c r="L3" s="6" t="str">
        <f>IF(B3="",L2,B3)</f>
        <v>게임실행</v>
      </c>
    </row>
    <row r="4" spans="1:12" ht="12.75" customHeight="1">
      <c r="A4" s="3">
        <f>ROW()-2</f>
        <v>2</v>
      </c>
      <c r="B4" s="20"/>
      <c r="C4" s="20"/>
      <c r="D4" s="19"/>
      <c r="E4" s="7" t="s">
        <v>20</v>
      </c>
      <c r="F4" s="8"/>
      <c r="G4" s="8"/>
      <c r="H4" s="8"/>
      <c r="I4" s="3" t="s">
        <v>15</v>
      </c>
      <c r="J4" s="8"/>
      <c r="K4" s="8"/>
      <c r="L4" s="6" t="str">
        <f>IF(B4="",L3,B4)</f>
        <v>게임실행</v>
      </c>
    </row>
    <row r="5" spans="1:12" ht="12.75" customHeight="1">
      <c r="A5" s="3">
        <f>ROW()-2</f>
        <v>3</v>
      </c>
      <c r="B5" s="20"/>
      <c r="C5" s="20"/>
      <c r="D5" s="18" t="s">
        <v>21</v>
      </c>
      <c r="E5" s="7" t="s">
        <v>22</v>
      </c>
      <c r="F5" s="8"/>
      <c r="G5" s="8"/>
      <c r="H5" s="8"/>
      <c r="I5" s="3" t="s">
        <v>15</v>
      </c>
      <c r="J5" s="8"/>
      <c r="K5" s="8"/>
      <c r="L5" s="6" t="str">
        <f>IF(B5="",L4,B5)</f>
        <v>게임실행</v>
      </c>
    </row>
    <row r="6" spans="1:12" ht="12.75" customHeight="1">
      <c r="A6" s="3">
        <f>ROW()-2</f>
        <v>4</v>
      </c>
      <c r="B6" s="20"/>
      <c r="C6" s="20"/>
      <c r="D6" s="19"/>
      <c r="E6" s="7" t="s">
        <v>23</v>
      </c>
      <c r="F6" s="8"/>
      <c r="G6" s="8"/>
      <c r="H6" s="8"/>
      <c r="I6" s="3" t="s">
        <v>15</v>
      </c>
      <c r="J6" s="8"/>
      <c r="K6" s="8"/>
      <c r="L6" s="6" t="str">
        <f>IF(B6="",L5,B6)</f>
        <v>게임실행</v>
      </c>
    </row>
    <row r="7" spans="1:12" ht="12.75" customHeight="1">
      <c r="A7" s="3">
        <f>ROW()-2</f>
        <v>5</v>
      </c>
      <c r="B7" s="19"/>
      <c r="C7" s="19"/>
      <c r="D7" s="3" t="s">
        <v>24</v>
      </c>
      <c r="E7" s="7" t="s">
        <v>25</v>
      </c>
      <c r="F7" s="8"/>
      <c r="G7" s="8"/>
      <c r="H7" s="8"/>
      <c r="I7" s="3" t="s">
        <v>15</v>
      </c>
      <c r="J7" s="8"/>
      <c r="K7" s="8"/>
      <c r="L7" s="6" t="str">
        <f>IF(B7="",L6,B7)</f>
        <v>게임실행</v>
      </c>
    </row>
    <row r="8" spans="1:12" ht="12.75" customHeight="1">
      <c r="A8" s="3">
        <f>ROW()-2</f>
        <v>6</v>
      </c>
      <c r="B8" s="24" t="s">
        <v>26</v>
      </c>
      <c r="C8" s="18" t="s">
        <v>27</v>
      </c>
      <c r="D8" s="3" t="s">
        <v>28</v>
      </c>
      <c r="E8" s="7" t="s">
        <v>29</v>
      </c>
      <c r="F8" s="8"/>
      <c r="G8" s="8" t="s">
        <v>30</v>
      </c>
      <c r="H8" s="8" t="s">
        <v>31</v>
      </c>
      <c r="I8" s="3" t="s">
        <v>32</v>
      </c>
      <c r="J8" s="8"/>
      <c r="K8" s="8"/>
      <c r="L8" s="6" t="str">
        <f>IF(B8="",L7,B8)</f>
        <v>메뉴기능</v>
      </c>
    </row>
    <row r="9" spans="1:12" ht="12.75" customHeight="1">
      <c r="A9" s="3">
        <f>ROW()-2</f>
        <v>7</v>
      </c>
      <c r="B9" s="24"/>
      <c r="C9" s="20"/>
      <c r="D9" s="3" t="s">
        <v>33</v>
      </c>
      <c r="E9" s="7" t="s">
        <v>34</v>
      </c>
      <c r="F9" s="8"/>
      <c r="G9" s="8" t="s">
        <v>35</v>
      </c>
      <c r="H9" s="8" t="s">
        <v>36</v>
      </c>
      <c r="I9" s="3" t="s">
        <v>32</v>
      </c>
      <c r="J9" s="8"/>
      <c r="K9" s="8"/>
      <c r="L9" s="6" t="str">
        <f>IF(B9="",L8,B9)</f>
        <v>메뉴기능</v>
      </c>
    </row>
    <row r="10" spans="1:12" ht="12.75" customHeight="1">
      <c r="A10" s="3">
        <f>ROW()-2</f>
        <v>8</v>
      </c>
      <c r="B10" s="24"/>
      <c r="C10" s="20"/>
      <c r="D10" s="3" t="s">
        <v>37</v>
      </c>
      <c r="E10" s="7" t="s">
        <v>38</v>
      </c>
      <c r="F10" s="8"/>
      <c r="G10" s="8" t="s">
        <v>39</v>
      </c>
      <c r="H10" s="8" t="s">
        <v>40</v>
      </c>
      <c r="I10" s="3" t="s">
        <v>32</v>
      </c>
      <c r="J10" s="8"/>
      <c r="K10" s="8"/>
      <c r="L10" s="6" t="str">
        <f>IF(B10="",L9,B10)</f>
        <v>메뉴기능</v>
      </c>
    </row>
    <row r="11" spans="1:12" ht="12.75" customHeight="1">
      <c r="A11" s="3">
        <f>ROW()-2</f>
        <v>9</v>
      </c>
      <c r="B11" s="24"/>
      <c r="C11" s="20"/>
      <c r="D11" s="3" t="s">
        <v>41</v>
      </c>
      <c r="E11" s="7" t="s">
        <v>42</v>
      </c>
      <c r="F11" s="8"/>
      <c r="G11" s="8" t="s">
        <v>43</v>
      </c>
      <c r="H11" s="8" t="s">
        <v>44</v>
      </c>
      <c r="I11" s="3" t="s">
        <v>32</v>
      </c>
      <c r="J11" s="8"/>
      <c r="K11" s="8"/>
      <c r="L11" s="6" t="str">
        <f>IF(B11="",L10,B11)</f>
        <v>메뉴기능</v>
      </c>
    </row>
    <row r="12" spans="1:12" ht="12.75" customHeight="1">
      <c r="A12" s="3">
        <f>ROW()-2</f>
        <v>10</v>
      </c>
      <c r="B12" s="24"/>
      <c r="C12" s="20"/>
      <c r="D12" s="18" t="s">
        <v>45</v>
      </c>
      <c r="E12" s="7" t="s">
        <v>46</v>
      </c>
      <c r="F12" s="8"/>
      <c r="G12" s="8" t="s">
        <v>47</v>
      </c>
      <c r="H12" s="8" t="s">
        <v>48</v>
      </c>
      <c r="I12" s="3" t="s">
        <v>32</v>
      </c>
      <c r="J12" s="8"/>
      <c r="K12" s="8"/>
      <c r="L12" s="6" t="str">
        <f>IF(B12="",L11,B12)</f>
        <v>메뉴기능</v>
      </c>
    </row>
    <row r="13" spans="1:12" ht="12.75" customHeight="1">
      <c r="A13" s="3">
        <f>ROW()-2</f>
        <v>11</v>
      </c>
      <c r="B13" s="24"/>
      <c r="C13" s="20"/>
      <c r="D13" s="22" t="s">
        <v>49</v>
      </c>
      <c r="E13" s="7" t="s">
        <v>50</v>
      </c>
      <c r="F13" s="8"/>
      <c r="G13" s="8" t="s">
        <v>51</v>
      </c>
      <c r="H13" s="8" t="s">
        <v>52</v>
      </c>
      <c r="I13" s="3" t="s">
        <v>53</v>
      </c>
      <c r="J13" s="8" t="s">
        <v>54</v>
      </c>
      <c r="K13" s="8"/>
      <c r="L13" s="6" t="str">
        <f>IF(B13="",L12,B13)</f>
        <v>메뉴기능</v>
      </c>
    </row>
    <row r="14" spans="1:12" ht="12.75" customHeight="1">
      <c r="A14" s="3">
        <f>ROW()-2</f>
        <v>12</v>
      </c>
      <c r="B14" s="24"/>
      <c r="C14" s="20"/>
      <c r="D14" s="21" t="s">
        <v>55</v>
      </c>
      <c r="E14" s="7" t="s">
        <v>56</v>
      </c>
      <c r="F14" s="8"/>
      <c r="G14" s="8" t="s">
        <v>57</v>
      </c>
      <c r="H14" s="8" t="s">
        <v>58</v>
      </c>
      <c r="I14" s="3" t="s">
        <v>32</v>
      </c>
      <c r="J14" s="8"/>
      <c r="K14" s="8"/>
      <c r="L14" s="6" t="str">
        <f>IF(B14="",L13,B14)</f>
        <v>메뉴기능</v>
      </c>
    </row>
    <row r="15" spans="1:12" ht="12.75" customHeight="1">
      <c r="A15" s="3">
        <f>ROW()-2</f>
        <v>13</v>
      </c>
      <c r="B15" s="24"/>
      <c r="C15" s="20"/>
      <c r="D15" s="21"/>
      <c r="E15" s="7" t="s">
        <v>59</v>
      </c>
      <c r="F15" s="8"/>
      <c r="G15" s="8" t="s">
        <v>60</v>
      </c>
      <c r="H15" s="8" t="s">
        <v>61</v>
      </c>
      <c r="I15" s="3" t="s">
        <v>32</v>
      </c>
      <c r="J15" s="8"/>
      <c r="K15" s="8"/>
      <c r="L15" s="6" t="str">
        <f>IF(B15="",L14,B15)</f>
        <v>메뉴기능</v>
      </c>
    </row>
    <row r="16" spans="1:12" ht="12.75" customHeight="1">
      <c r="A16" s="3">
        <f>ROW()-2</f>
        <v>14</v>
      </c>
      <c r="B16" s="24"/>
      <c r="C16" s="20"/>
      <c r="D16" s="19"/>
      <c r="E16" s="7" t="s">
        <v>62</v>
      </c>
      <c r="F16" s="8"/>
      <c r="G16" s="8" t="s">
        <v>63</v>
      </c>
      <c r="H16" s="8" t="s">
        <v>64</v>
      </c>
      <c r="I16" s="3" t="s">
        <v>32</v>
      </c>
      <c r="J16" s="8"/>
      <c r="K16" s="8"/>
      <c r="L16" s="6" t="str">
        <f>IF(B16="",L15,B16)</f>
        <v>메뉴기능</v>
      </c>
    </row>
    <row r="17" spans="1:12" ht="12.75" customHeight="1">
      <c r="A17" s="3">
        <f>ROW()-2</f>
        <v>15</v>
      </c>
      <c r="B17" s="24"/>
      <c r="C17" s="20"/>
      <c r="D17" s="18" t="s">
        <v>65</v>
      </c>
      <c r="E17" s="7" t="s">
        <v>66</v>
      </c>
      <c r="F17" s="8"/>
      <c r="G17" s="8" t="s">
        <v>67</v>
      </c>
      <c r="H17" s="8" t="s">
        <v>68</v>
      </c>
      <c r="I17" s="3" t="s">
        <v>32</v>
      </c>
      <c r="J17" s="8"/>
      <c r="K17" s="8"/>
      <c r="L17" s="6" t="str">
        <f>IF(B17="",L16,B17)</f>
        <v>메뉴기능</v>
      </c>
    </row>
    <row r="18" spans="1:12" ht="12.75" customHeight="1">
      <c r="A18" s="3">
        <f>ROW()-2</f>
        <v>16</v>
      </c>
      <c r="B18" s="24"/>
      <c r="C18" s="20"/>
      <c r="D18" s="19"/>
      <c r="E18" s="7" t="s">
        <v>69</v>
      </c>
      <c r="F18" s="8"/>
      <c r="G18" s="8" t="s">
        <v>70</v>
      </c>
      <c r="H18" s="8" t="s">
        <v>71</v>
      </c>
      <c r="I18" s="3" t="s">
        <v>32</v>
      </c>
      <c r="J18" s="8"/>
      <c r="K18" s="8"/>
      <c r="L18" s="6" t="str">
        <f>IF(B18="",L17,B18)</f>
        <v>메뉴기능</v>
      </c>
    </row>
    <row r="19" spans="1:12" ht="12.75" customHeight="1">
      <c r="A19" s="3">
        <f>ROW()-2</f>
        <v>17</v>
      </c>
      <c r="B19" s="24"/>
      <c r="C19" s="20"/>
      <c r="D19" s="18" t="s">
        <v>72</v>
      </c>
      <c r="E19" s="7" t="s">
        <v>73</v>
      </c>
      <c r="F19" s="8"/>
      <c r="G19" s="8" t="s">
        <v>74</v>
      </c>
      <c r="H19" s="8" t="s">
        <v>75</v>
      </c>
      <c r="I19" s="3" t="s">
        <v>32</v>
      </c>
      <c r="J19" s="8"/>
      <c r="K19" s="8"/>
      <c r="L19" s="6" t="str">
        <f>IF(B19="",L18,B19)</f>
        <v>메뉴기능</v>
      </c>
    </row>
    <row r="20" spans="1:12" ht="12.75" customHeight="1">
      <c r="A20" s="3">
        <f>ROW()-2</f>
        <v>18</v>
      </c>
      <c r="B20" s="24"/>
      <c r="C20" s="20"/>
      <c r="D20" s="19"/>
      <c r="E20" s="7" t="s">
        <v>76</v>
      </c>
      <c r="F20" s="8"/>
      <c r="G20" s="8" t="s">
        <v>77</v>
      </c>
      <c r="H20" s="8" t="s">
        <v>71</v>
      </c>
      <c r="I20" s="3" t="s">
        <v>32</v>
      </c>
      <c r="J20" s="8"/>
      <c r="K20" s="8"/>
      <c r="L20" s="6" t="str">
        <f>IF(B20="",L19,B20)</f>
        <v>메뉴기능</v>
      </c>
    </row>
    <row r="21" spans="1:12" ht="12.75" customHeight="1">
      <c r="A21" s="3">
        <f>ROW()-2</f>
        <v>19</v>
      </c>
      <c r="B21" s="24"/>
      <c r="C21" s="20"/>
      <c r="D21" s="3" t="s">
        <v>78</v>
      </c>
      <c r="E21" s="7" t="s">
        <v>79</v>
      </c>
      <c r="F21" s="8"/>
      <c r="G21" s="8" t="s">
        <v>80</v>
      </c>
      <c r="H21" s="8" t="s">
        <v>81</v>
      </c>
      <c r="I21" s="3" t="s">
        <v>32</v>
      </c>
      <c r="J21" s="8"/>
      <c r="K21" s="8"/>
      <c r="L21" s="6" t="str">
        <f>IF(B21="",L20,B21)</f>
        <v>메뉴기능</v>
      </c>
    </row>
    <row r="22" spans="1:12" ht="12.75" customHeight="1">
      <c r="A22" s="3">
        <f>ROW()-2</f>
        <v>20</v>
      </c>
      <c r="B22" s="24"/>
      <c r="C22" s="20"/>
      <c r="D22" s="19"/>
      <c r="E22" s="7" t="s">
        <v>82</v>
      </c>
      <c r="F22" s="8"/>
      <c r="G22" s="8" t="s">
        <v>83</v>
      </c>
      <c r="H22" s="8" t="s">
        <v>84</v>
      </c>
      <c r="I22" s="3" t="s">
        <v>32</v>
      </c>
      <c r="K22" s="8"/>
      <c r="L22" s="6" t="str">
        <f>IF(B22="",L21,B22)</f>
        <v>메뉴기능</v>
      </c>
    </row>
    <row r="23" spans="1:12" ht="12.75" customHeight="1">
      <c r="A23" s="3">
        <f>ROW()-2</f>
        <v>21</v>
      </c>
      <c r="B23" s="24"/>
      <c r="C23" s="20"/>
      <c r="D23" s="18"/>
      <c r="E23" s="7" t="s">
        <v>85</v>
      </c>
      <c r="F23" s="8"/>
      <c r="G23" s="8" t="s">
        <v>86</v>
      </c>
      <c r="H23" s="23" t="s">
        <v>87</v>
      </c>
      <c r="I23" s="3" t="s">
        <v>32</v>
      </c>
      <c r="K23" s="8"/>
      <c r="L23" s="6" t="str">
        <f>IF(B23="",L22,B23)</f>
        <v>메뉴기능</v>
      </c>
    </row>
    <row r="24" spans="1:12" ht="12.75" customHeight="1">
      <c r="A24" s="3">
        <f>ROW()-2</f>
        <v>22</v>
      </c>
      <c r="B24" s="24"/>
      <c r="C24" s="20"/>
      <c r="D24" s="19"/>
      <c r="E24" s="7" t="s">
        <v>88</v>
      </c>
      <c r="F24" s="8"/>
      <c r="G24" s="8" t="s">
        <v>89</v>
      </c>
      <c r="H24" s="23" t="s">
        <v>87</v>
      </c>
      <c r="I24" s="3" t="s">
        <v>32</v>
      </c>
      <c r="K24" s="8"/>
      <c r="L24" s="6" t="str">
        <f>IF(B24="",L23,B24)</f>
        <v>메뉴기능</v>
      </c>
    </row>
    <row r="25" spans="1:12" ht="12.75" customHeight="1">
      <c r="A25" s="3">
        <f>ROW()-2</f>
        <v>23</v>
      </c>
      <c r="B25" s="25"/>
      <c r="C25" s="19"/>
      <c r="D25" s="3" t="s">
        <v>90</v>
      </c>
      <c r="E25" s="7" t="s">
        <v>91</v>
      </c>
      <c r="F25" s="8" t="s">
        <v>92</v>
      </c>
      <c r="G25" s="8" t="s">
        <v>93</v>
      </c>
      <c r="H25" s="8" t="s">
        <v>94</v>
      </c>
      <c r="I25" s="3" t="s">
        <v>32</v>
      </c>
      <c r="J25" s="8"/>
      <c r="K25" s="8"/>
      <c r="L25" s="6" t="str">
        <f>IF(B25="",L24,B25)</f>
        <v>메뉴기능</v>
      </c>
    </row>
    <row r="26" spans="1:12" ht="12.75" customHeight="1">
      <c r="A26" s="38">
        <f>ROW()-2</f>
        <v>24</v>
      </c>
      <c r="B26" s="3" t="s">
        <v>95</v>
      </c>
      <c r="C26" s="55" t="s">
        <v>96</v>
      </c>
      <c r="D26" s="18" t="s">
        <v>97</v>
      </c>
      <c r="E26" s="7" t="s">
        <v>98</v>
      </c>
      <c r="F26" s="8"/>
      <c r="G26" s="8" t="s">
        <v>99</v>
      </c>
      <c r="H26" s="8" t="s">
        <v>100</v>
      </c>
      <c r="I26" s="3" t="s">
        <v>32</v>
      </c>
      <c r="J26" s="8"/>
      <c r="K26" s="8"/>
      <c r="L26" s="6" t="str">
        <f>IF(B26="",L29,B26)</f>
        <v>인게임기능</v>
      </c>
    </row>
    <row r="27" spans="1:12" ht="12.75" customHeight="1">
      <c r="A27" s="38">
        <f>ROW()-2</f>
        <v>25</v>
      </c>
      <c r="B27" s="75"/>
      <c r="C27" s="56"/>
      <c r="D27" s="19"/>
      <c r="E27" s="7" t="s">
        <v>101</v>
      </c>
      <c r="F27" s="8"/>
      <c r="G27" s="8" t="s">
        <v>102</v>
      </c>
      <c r="H27" s="8" t="s">
        <v>103</v>
      </c>
      <c r="I27" s="3" t="s">
        <v>32</v>
      </c>
      <c r="J27" s="8"/>
      <c r="K27" s="8"/>
      <c r="L27" s="6" t="str">
        <f>IF(B27="",L26,B27)</f>
        <v>인게임기능</v>
      </c>
    </row>
    <row r="28" spans="1:12" ht="12.75" customHeight="1">
      <c r="A28" s="38">
        <f>ROW()-2</f>
        <v>26</v>
      </c>
      <c r="B28" s="75"/>
      <c r="C28" s="56"/>
      <c r="D28" s="26" t="s">
        <v>104</v>
      </c>
      <c r="E28" s="7" t="s">
        <v>105</v>
      </c>
      <c r="F28" s="8"/>
      <c r="G28" s="8" t="s">
        <v>106</v>
      </c>
      <c r="H28" s="8" t="s">
        <v>107</v>
      </c>
      <c r="I28" s="3" t="s">
        <v>32</v>
      </c>
      <c r="J28" s="8"/>
      <c r="K28" s="8"/>
      <c r="L28" s="6" t="str">
        <f>IF(B28="",L27,B28)</f>
        <v>인게임기능</v>
      </c>
    </row>
    <row r="29" spans="1:12" ht="12.75" customHeight="1">
      <c r="A29" s="38">
        <f>ROW()-2</f>
        <v>27</v>
      </c>
      <c r="B29" s="75"/>
      <c r="C29" s="56"/>
      <c r="D29" s="24"/>
      <c r="E29" s="7" t="s">
        <v>108</v>
      </c>
      <c r="F29" s="8"/>
      <c r="G29" s="8" t="s">
        <v>109</v>
      </c>
      <c r="H29" s="8" t="s">
        <v>110</v>
      </c>
      <c r="I29" s="3" t="s">
        <v>32</v>
      </c>
      <c r="J29" s="8"/>
      <c r="K29" s="8"/>
      <c r="L29" s="6" t="str">
        <f>IF(B29="",L28,B29)</f>
        <v>인게임기능</v>
      </c>
    </row>
    <row r="30" spans="1:12" ht="12.75" customHeight="1">
      <c r="A30" s="38">
        <f>ROW()-2</f>
        <v>28</v>
      </c>
      <c r="B30" s="75"/>
      <c r="C30" s="56"/>
      <c r="D30" s="25"/>
      <c r="E30" s="7" t="s">
        <v>111</v>
      </c>
      <c r="F30" s="8" t="s">
        <v>112</v>
      </c>
      <c r="G30" s="8" t="s">
        <v>113</v>
      </c>
      <c r="H30" s="8" t="s">
        <v>114</v>
      </c>
      <c r="I30" s="3" t="s">
        <v>32</v>
      </c>
      <c r="J30" s="8"/>
      <c r="K30" s="8"/>
      <c r="L30" s="6" t="str">
        <f>IF(B30="",L29,B30)</f>
        <v>인게임기능</v>
      </c>
    </row>
    <row r="31" spans="1:12" ht="12.75" customHeight="1">
      <c r="A31" s="38">
        <f>ROW()-2</f>
        <v>29</v>
      </c>
      <c r="B31" s="75"/>
      <c r="C31" s="57"/>
      <c r="D31" s="3" t="s">
        <v>115</v>
      </c>
      <c r="E31" s="7" t="s">
        <v>116</v>
      </c>
      <c r="F31" s="8" t="s">
        <v>117</v>
      </c>
      <c r="G31" s="8" t="s">
        <v>118</v>
      </c>
      <c r="H31" s="8" t="s">
        <v>119</v>
      </c>
      <c r="I31" s="3" t="s">
        <v>32</v>
      </c>
      <c r="J31" s="8"/>
      <c r="K31" s="8"/>
      <c r="L31" s="6" t="str">
        <f>IF(B31="",L30,B31)</f>
        <v>인게임기능</v>
      </c>
    </row>
    <row r="32" spans="1:12" ht="12.75" customHeight="1">
      <c r="A32" s="38">
        <f>ROW()-2</f>
        <v>30</v>
      </c>
      <c r="B32" s="75"/>
      <c r="C32" s="55"/>
      <c r="D32" s="35" t="s">
        <v>120</v>
      </c>
      <c r="E32" s="30" t="s">
        <v>121</v>
      </c>
      <c r="F32" s="31"/>
      <c r="G32" s="29" t="s">
        <v>122</v>
      </c>
      <c r="H32" s="32" t="s">
        <v>123</v>
      </c>
      <c r="I32" s="3" t="s">
        <v>32</v>
      </c>
      <c r="J32" s="8"/>
      <c r="K32" s="8"/>
      <c r="L32" s="6" t="str">
        <f>IF(B32="",L31,B32)</f>
        <v>인게임기능</v>
      </c>
    </row>
    <row r="33" spans="1:12" ht="12.75" customHeight="1">
      <c r="A33" s="38">
        <f>ROW()-2</f>
        <v>31</v>
      </c>
      <c r="B33" s="75"/>
      <c r="C33" s="56"/>
      <c r="D33" s="27"/>
      <c r="E33" s="30" t="s">
        <v>124</v>
      </c>
      <c r="F33" s="34" t="s">
        <v>125</v>
      </c>
      <c r="G33" s="29" t="s">
        <v>122</v>
      </c>
      <c r="H33" s="33" t="s">
        <v>126</v>
      </c>
      <c r="I33" s="3" t="s">
        <v>32</v>
      </c>
      <c r="J33" s="8"/>
      <c r="K33" s="8"/>
      <c r="L33" s="6" t="str">
        <f>IF(B33="",L32,B33)</f>
        <v>인게임기능</v>
      </c>
    </row>
    <row r="34" spans="1:12" ht="12.75" customHeight="1">
      <c r="A34" s="38">
        <f>ROW()-2</f>
        <v>32</v>
      </c>
      <c r="B34" s="75"/>
      <c r="C34" s="56"/>
      <c r="D34" s="28"/>
      <c r="E34" s="30" t="s">
        <v>127</v>
      </c>
      <c r="F34" s="34" t="s">
        <v>128</v>
      </c>
      <c r="G34" s="29" t="s">
        <v>129</v>
      </c>
      <c r="H34" s="33" t="s">
        <v>130</v>
      </c>
      <c r="I34" s="3" t="s">
        <v>32</v>
      </c>
      <c r="J34" s="8"/>
      <c r="K34" s="8"/>
      <c r="L34" s="6" t="str">
        <f>IF(B34="",L33,B34)</f>
        <v>인게임기능</v>
      </c>
    </row>
    <row r="35" spans="1:12" ht="12.75" customHeight="1">
      <c r="A35" s="38">
        <f>ROW()-2</f>
        <v>33</v>
      </c>
      <c r="B35" s="75"/>
      <c r="C35" s="56"/>
      <c r="E35" s="36" t="s">
        <v>131</v>
      </c>
      <c r="F35" s="34"/>
      <c r="G35" s="29" t="s">
        <v>132</v>
      </c>
      <c r="H35" s="33" t="s">
        <v>133</v>
      </c>
      <c r="I35" s="3" t="s">
        <v>32</v>
      </c>
      <c r="J35" s="8"/>
      <c r="K35" s="8"/>
      <c r="L35" s="6" t="str">
        <f>IF(B35="",L34,B35)</f>
        <v>인게임기능</v>
      </c>
    </row>
    <row r="36" spans="1:12" ht="12.75" customHeight="1">
      <c r="A36" s="38">
        <f>ROW()-2</f>
        <v>34</v>
      </c>
      <c r="B36" s="75"/>
      <c r="C36" s="56"/>
      <c r="D36" s="31"/>
      <c r="E36" s="36" t="s">
        <v>134</v>
      </c>
      <c r="F36" s="34"/>
      <c r="G36" s="29" t="s">
        <v>135</v>
      </c>
      <c r="H36" s="33" t="s">
        <v>136</v>
      </c>
      <c r="I36" s="3" t="s">
        <v>32</v>
      </c>
      <c r="J36" s="8"/>
      <c r="K36" s="8"/>
      <c r="L36" s="6" t="str">
        <f>IF(B36="",L35,B36)</f>
        <v>인게임기능</v>
      </c>
    </row>
    <row r="37" spans="1:12" ht="12.75" customHeight="1">
      <c r="A37" s="38">
        <f>ROW()-2</f>
        <v>35</v>
      </c>
      <c r="B37" s="75"/>
      <c r="C37" s="56"/>
      <c r="D37" s="18" t="s">
        <v>137</v>
      </c>
      <c r="E37" s="7" t="s">
        <v>138</v>
      </c>
      <c r="F37" s="8"/>
      <c r="G37" s="8" t="s">
        <v>139</v>
      </c>
      <c r="H37" s="8" t="s">
        <v>140</v>
      </c>
      <c r="I37" s="3" t="s">
        <v>32</v>
      </c>
      <c r="J37" s="8"/>
      <c r="K37" s="8"/>
      <c r="L37" s="6" t="str">
        <f>IF(B37="",L36,B37)</f>
        <v>인게임기능</v>
      </c>
    </row>
    <row r="38" spans="1:12" ht="12.75" customHeight="1">
      <c r="A38" s="38">
        <f>ROW()-2</f>
        <v>36</v>
      </c>
      <c r="B38" s="75"/>
      <c r="C38" s="56"/>
      <c r="D38" s="19"/>
      <c r="E38" s="7" t="s">
        <v>141</v>
      </c>
      <c r="F38" s="8"/>
      <c r="G38" s="8" t="s">
        <v>142</v>
      </c>
      <c r="H38" s="8" t="s">
        <v>143</v>
      </c>
      <c r="I38" s="3" t="s">
        <v>32</v>
      </c>
      <c r="J38" s="8"/>
      <c r="K38" s="8"/>
      <c r="L38" s="6" t="str">
        <f>IF(B38="",L37,B38)</f>
        <v>인게임기능</v>
      </c>
    </row>
    <row r="39" spans="1:17" ht="12.75" customHeight="1">
      <c r="A39" s="38">
        <f>ROW()-2</f>
        <v>37</v>
      </c>
      <c r="B39" s="75"/>
      <c r="C39" s="56"/>
      <c r="D39" s="3" t="s">
        <v>144</v>
      </c>
      <c r="E39" s="7" t="s">
        <v>145</v>
      </c>
      <c r="F39" s="8"/>
      <c r="G39" s="8" t="s">
        <v>146</v>
      </c>
      <c r="H39" s="8" t="s">
        <v>147</v>
      </c>
      <c r="I39" s="3" t="s">
        <v>32</v>
      </c>
      <c r="J39" s="8"/>
      <c r="K39" s="8"/>
      <c r="L39" s="6" t="str">
        <f>IF(B39="",L38,B39)</f>
        <v>인게임기능</v>
      </c>
      <c r="Q39" s="3" t="s">
        <v>32</v>
      </c>
    </row>
    <row r="40" spans="1:17" ht="12.75" customHeight="1">
      <c r="A40" s="38">
        <f>ROW()-2</f>
        <v>38</v>
      </c>
      <c r="B40" s="75"/>
      <c r="C40" s="58"/>
      <c r="D40" s="19"/>
      <c r="E40" s="7" t="s">
        <v>82</v>
      </c>
      <c r="F40" s="8"/>
      <c r="G40" s="8" t="s">
        <v>82</v>
      </c>
      <c r="H40" s="8" t="s">
        <v>148</v>
      </c>
      <c r="I40" s="3" t="s">
        <v>32</v>
      </c>
      <c r="J40" s="8"/>
      <c r="K40" s="8"/>
      <c r="L40" s="6" t="str">
        <f>IF(B40="",L39,B40)</f>
        <v>인게임기능</v>
      </c>
      <c r="P40" s="5" t="s">
        <v>149</v>
      </c>
      <c r="Q40" s="3" t="s">
        <v>15</v>
      </c>
    </row>
    <row r="41" spans="1:17" ht="12.75" customHeight="1">
      <c r="A41" s="38">
        <f>ROW()-2</f>
        <v>39</v>
      </c>
      <c r="B41" s="75"/>
      <c r="C41" s="59"/>
      <c r="D41" s="18"/>
      <c r="E41" s="7" t="s">
        <v>85</v>
      </c>
      <c r="F41" s="8"/>
      <c r="G41" s="8" t="s">
        <v>85</v>
      </c>
      <c r="H41" s="23" t="s">
        <v>87</v>
      </c>
      <c r="I41" s="3" t="s">
        <v>32</v>
      </c>
      <c r="J41" s="8"/>
      <c r="K41" s="8"/>
      <c r="L41" s="6" t="str">
        <f>IF(B41="",L40,B41)</f>
        <v>인게임기능</v>
      </c>
      <c r="P41" s="8" t="s">
        <v>150</v>
      </c>
      <c r="Q41" s="3" t="s">
        <v>151</v>
      </c>
    </row>
    <row r="42" spans="1:17" ht="12.75" customHeight="1">
      <c r="A42" s="38">
        <f>ROW()-2</f>
        <v>40</v>
      </c>
      <c r="B42" s="64"/>
      <c r="C42" s="31"/>
      <c r="D42" s="19"/>
      <c r="E42" s="7" t="s">
        <v>88</v>
      </c>
      <c r="F42" s="8"/>
      <c r="G42" s="8" t="s">
        <v>88</v>
      </c>
      <c r="H42" s="23" t="s">
        <v>87</v>
      </c>
      <c r="I42" s="3" t="s">
        <v>32</v>
      </c>
      <c r="J42" s="8"/>
      <c r="K42" s="8"/>
      <c r="L42" s="6" t="str">
        <f>IF(B42="",L41,B42)</f>
        <v>인게임기능</v>
      </c>
      <c r="P42" s="8" t="s">
        <v>152</v>
      </c>
      <c r="Q42" s="3" t="s">
        <v>153</v>
      </c>
    </row>
    <row r="43" spans="1:17" ht="12.75" customHeight="1">
      <c r="A43" s="38">
        <f>ROW()-2</f>
        <v>41</v>
      </c>
      <c r="B43" s="76"/>
      <c r="C43" s="35" t="s">
        <v>154</v>
      </c>
      <c r="D43" s="40" t="s">
        <v>155</v>
      </c>
      <c r="E43" s="30" t="s">
        <v>156</v>
      </c>
      <c r="F43" s="43"/>
      <c r="G43" s="30" t="s">
        <v>157</v>
      </c>
      <c r="H43" s="34" t="s">
        <v>158</v>
      </c>
      <c r="I43" s="3" t="s">
        <v>32</v>
      </c>
      <c r="J43" s="8"/>
      <c r="K43" s="8"/>
      <c r="L43" s="6" t="str">
        <f>IF(B43="",L46,B43)</f>
        <v>인게임기능</v>
      </c>
      <c r="P43" s="8" t="s">
        <v>159</v>
      </c>
      <c r="Q43" s="3" t="s">
        <v>53</v>
      </c>
    </row>
    <row r="44" spans="1:17" ht="12.75" customHeight="1">
      <c r="A44" s="38">
        <f>ROW()-2</f>
        <v>42</v>
      </c>
      <c r="B44" s="76"/>
      <c r="C44" s="37"/>
      <c r="D44" s="41"/>
      <c r="E44" s="30" t="s">
        <v>160</v>
      </c>
      <c r="F44" s="43"/>
      <c r="G44" s="30" t="s">
        <v>161</v>
      </c>
      <c r="H44" s="39" t="s">
        <v>162</v>
      </c>
      <c r="I44" s="3" t="s">
        <v>32</v>
      </c>
      <c r="J44" s="8"/>
      <c r="K44" s="8"/>
      <c r="L44" s="6" t="str">
        <f>IF(B44="",L43,B44)</f>
        <v>인게임기능</v>
      </c>
      <c r="P44" s="8" t="s">
        <v>163</v>
      </c>
      <c r="Q44" s="3" t="s">
        <v>15</v>
      </c>
    </row>
    <row r="45" spans="1:12" ht="12.75" customHeight="1">
      <c r="A45" s="38">
        <f>ROW()-2</f>
        <v>43</v>
      </c>
      <c r="B45" s="76"/>
      <c r="C45" s="37"/>
      <c r="D45" s="41"/>
      <c r="E45" s="43" t="s">
        <v>164</v>
      </c>
      <c r="F45" s="33" t="s">
        <v>165</v>
      </c>
      <c r="G45" s="30" t="s">
        <v>166</v>
      </c>
      <c r="H45" s="44" t="s">
        <v>167</v>
      </c>
      <c r="I45" s="45" t="s">
        <v>32</v>
      </c>
      <c r="J45" s="8"/>
      <c r="K45" s="8"/>
      <c r="L45" s="6" t="str">
        <f>IF(B45="",L44,B45)</f>
        <v>인게임기능</v>
      </c>
    </row>
    <row r="46" spans="1:12" ht="12.75" customHeight="1">
      <c r="A46">
        <f>ROW()-2</f>
        <v>44</v>
      </c>
      <c r="B46" s="76"/>
      <c r="C46" s="37"/>
      <c r="D46" s="42"/>
      <c r="E46" s="43" t="s">
        <v>168</v>
      </c>
      <c r="F46" s="33" t="s">
        <v>169</v>
      </c>
      <c r="G46" s="43" t="s">
        <v>170</v>
      </c>
      <c r="H46" s="34" t="s">
        <v>171</v>
      </c>
      <c r="I46" s="3" t="s">
        <v>32</v>
      </c>
      <c r="J46" s="8"/>
      <c r="K46" s="8"/>
      <c r="L46" s="6" t="str">
        <f>IF(B46="",L45,B46)</f>
        <v>인게임기능</v>
      </c>
    </row>
    <row r="47" spans="1:12" ht="12.75" customHeight="1">
      <c r="A47">
        <f>ROW()-2</f>
        <v>45</v>
      </c>
      <c r="B47" s="76"/>
      <c r="C47" s="37"/>
      <c r="D47" s="40" t="s">
        <v>172</v>
      </c>
      <c r="E47" s="30" t="s">
        <v>173</v>
      </c>
      <c r="F47" s="43"/>
      <c r="G47" s="30" t="s">
        <v>174</v>
      </c>
      <c r="H47" s="34" t="s">
        <v>175</v>
      </c>
      <c r="I47" s="3" t="s">
        <v>32</v>
      </c>
      <c r="J47" s="8"/>
      <c r="K47" s="8"/>
      <c r="L47" s="6" t="str">
        <f>IF(B47="",L46,B47)</f>
        <v>인게임기능</v>
      </c>
    </row>
    <row r="48" spans="1:12" ht="12.75" customHeight="1">
      <c r="A48">
        <f>ROW()-2</f>
        <v>46</v>
      </c>
      <c r="B48" s="76"/>
      <c r="C48" s="36"/>
      <c r="D48" s="42"/>
      <c r="E48" s="30" t="s">
        <v>176</v>
      </c>
      <c r="F48" s="30" t="s">
        <v>177</v>
      </c>
      <c r="G48" s="30" t="s">
        <v>178</v>
      </c>
      <c r="H48" s="39" t="s">
        <v>179</v>
      </c>
      <c r="I48" s="3" t="s">
        <v>32</v>
      </c>
      <c r="J48" s="8"/>
      <c r="K48" s="8"/>
      <c r="L48" s="6" t="str">
        <f>IF(B48="",L47,B48)</f>
        <v>인게임기능</v>
      </c>
    </row>
    <row r="49" spans="1:12" ht="12.75" customHeight="1">
      <c r="A49">
        <f>ROW()-2</f>
        <v>47</v>
      </c>
      <c r="B49" s="76"/>
      <c r="C49" s="46"/>
      <c r="D49" s="61"/>
      <c r="E49" s="62" t="s">
        <v>180</v>
      </c>
      <c r="F49" s="54" t="s">
        <v>181</v>
      </c>
      <c r="G49" s="54" t="s">
        <v>182</v>
      </c>
      <c r="H49" s="54" t="s">
        <v>183</v>
      </c>
      <c r="I49" s="3" t="s">
        <v>32</v>
      </c>
      <c r="K49" s="8"/>
      <c r="L49" s="6" t="str">
        <f>IF(B49="",L48,B49)</f>
        <v>인게임기능</v>
      </c>
    </row>
    <row r="50" spans="1:12" ht="12.75" customHeight="1">
      <c r="A50">
        <f>ROW()-2</f>
        <v>48</v>
      </c>
      <c r="B50" s="76"/>
      <c r="C50" s="47"/>
      <c r="D50" s="40" t="s">
        <v>184</v>
      </c>
      <c r="E50" s="30" t="s">
        <v>173</v>
      </c>
      <c r="F50" s="33"/>
      <c r="G50" s="30" t="s">
        <v>174</v>
      </c>
      <c r="H50" s="44" t="s">
        <v>175</v>
      </c>
      <c r="I50" s="45" t="s">
        <v>32</v>
      </c>
      <c r="J50" s="8"/>
      <c r="K50" s="8"/>
      <c r="L50" s="6" t="str">
        <f>IF(B50="",L49,B50)</f>
        <v>인게임기능</v>
      </c>
    </row>
    <row r="51" spans="1:12" ht="12.75" customHeight="1">
      <c r="A51">
        <f>ROW()-2</f>
        <v>49</v>
      </c>
      <c r="B51" s="76"/>
      <c r="C51" s="46"/>
      <c r="D51" s="42"/>
      <c r="E51" s="30" t="s">
        <v>168</v>
      </c>
      <c r="F51" s="30" t="s">
        <v>177</v>
      </c>
      <c r="G51" s="30" t="s">
        <v>185</v>
      </c>
      <c r="H51" s="34" t="s">
        <v>186</v>
      </c>
      <c r="I51" s="3" t="s">
        <v>32</v>
      </c>
      <c r="J51" s="8"/>
      <c r="L51" s="6" t="str">
        <f>IF(B51="",L50,B51)</f>
        <v>인게임기능</v>
      </c>
    </row>
    <row r="52" spans="1:12" ht="12.75" customHeight="1">
      <c r="A52">
        <f>ROW()-2</f>
        <v>50</v>
      </c>
      <c r="B52" s="76"/>
      <c r="C52" s="47"/>
      <c r="D52" s="48" t="s">
        <v>187</v>
      </c>
      <c r="E52" s="30" t="s">
        <v>188</v>
      </c>
      <c r="F52" s="43"/>
      <c r="G52" s="30" t="s">
        <v>189</v>
      </c>
      <c r="H52" s="36" t="s">
        <v>190</v>
      </c>
      <c r="I52" s="3" t="s">
        <v>32</v>
      </c>
      <c r="L52" s="6" t="str">
        <f>IF(B52="",L51,B52)</f>
        <v>인게임기능</v>
      </c>
    </row>
    <row r="53" spans="1:12" ht="12.75" customHeight="1">
      <c r="A53">
        <f>ROW()-2</f>
        <v>51</v>
      </c>
      <c r="B53" s="76"/>
      <c r="C53" s="46"/>
      <c r="D53" s="43"/>
      <c r="E53" s="44" t="s">
        <v>191</v>
      </c>
      <c r="F53" s="49" t="s">
        <v>192</v>
      </c>
      <c r="G53" s="44" t="s">
        <v>193</v>
      </c>
      <c r="H53" s="50" t="s">
        <v>194</v>
      </c>
      <c r="I53" s="3" t="s">
        <v>32</v>
      </c>
      <c r="L53" s="6" t="str">
        <f>IF(B53="",L52,B53)</f>
        <v>인게임기능</v>
      </c>
    </row>
    <row r="54" spans="1:12" ht="12.75" customHeight="1">
      <c r="A54">
        <f>ROW()-2</f>
        <v>52</v>
      </c>
      <c r="B54" s="76"/>
      <c r="C54" s="46"/>
      <c r="D54" s="61"/>
      <c r="E54" s="62" t="s">
        <v>195</v>
      </c>
      <c r="F54" s="63" t="s">
        <v>181</v>
      </c>
      <c r="G54" s="83" t="s">
        <v>196</v>
      </c>
      <c r="H54" s="84" t="s">
        <v>197</v>
      </c>
      <c r="I54" s="3" t="s">
        <v>32</v>
      </c>
      <c r="L54" s="6" t="str">
        <f>IF(B54="",L53,B54)</f>
        <v>인게임기능</v>
      </c>
    </row>
    <row r="55" spans="1:12" ht="12.75" customHeight="1">
      <c r="A55">
        <f>ROW()-2</f>
        <v>53</v>
      </c>
      <c r="B55" s="76"/>
      <c r="C55" s="47"/>
      <c r="D55" s="48" t="s">
        <v>198</v>
      </c>
      <c r="E55" s="44" t="s">
        <v>199</v>
      </c>
      <c r="F55" s="64"/>
      <c r="G55" s="49" t="s">
        <v>200</v>
      </c>
      <c r="H55" s="52" t="s">
        <v>201</v>
      </c>
      <c r="I55" s="3" t="s">
        <v>32</v>
      </c>
      <c r="L55" s="6" t="str">
        <f>IF(B55="",L54,B55)</f>
        <v>인게임기능</v>
      </c>
    </row>
    <row r="56" spans="1:12" ht="12.75" customHeight="1">
      <c r="A56">
        <f>ROW()-2</f>
        <v>54</v>
      </c>
      <c r="B56" s="76"/>
      <c r="C56" s="46"/>
      <c r="D56" s="60"/>
      <c r="E56" s="44" t="s">
        <v>202</v>
      </c>
      <c r="F56" s="50" t="s">
        <v>203</v>
      </c>
      <c r="G56" s="51" t="s">
        <v>204</v>
      </c>
      <c r="H56" s="52" t="s">
        <v>205</v>
      </c>
      <c r="I56" s="3" t="s">
        <v>32</v>
      </c>
      <c r="L56" s="6" t="str">
        <f>IF(B56="",L55,B56)</f>
        <v>인게임기능</v>
      </c>
    </row>
    <row r="57" spans="1:12" ht="12.75" customHeight="1">
      <c r="A57">
        <f>ROW()-2</f>
        <v>55</v>
      </c>
      <c r="B57" s="76"/>
      <c r="C57" s="46"/>
      <c r="D57" s="43"/>
      <c r="E57" s="44" t="s">
        <v>206</v>
      </c>
      <c r="F57" s="50" t="s">
        <v>207</v>
      </c>
      <c r="G57" s="50" t="s">
        <v>208</v>
      </c>
      <c r="H57" s="52" t="s">
        <v>209</v>
      </c>
      <c r="I57" s="3" t="s">
        <v>32</v>
      </c>
      <c r="L57" s="6" t="str">
        <f>IF(B57="",L56,B57)</f>
        <v>인게임기능</v>
      </c>
    </row>
    <row r="58" spans="1:12" ht="12.75" customHeight="1">
      <c r="A58">
        <f>ROW()-2</f>
        <v>56</v>
      </c>
      <c r="B58" s="76"/>
      <c r="C58" s="46"/>
      <c r="D58" s="65"/>
      <c r="E58" s="67" t="s">
        <v>210</v>
      </c>
      <c r="F58" s="68" t="s">
        <v>211</v>
      </c>
      <c r="G58" s="67" t="s">
        <v>212</v>
      </c>
      <c r="H58" s="80" t="s">
        <v>213</v>
      </c>
      <c r="I58" s="3" t="s">
        <v>151</v>
      </c>
      <c r="J58" s="85" t="s">
        <v>214</v>
      </c>
      <c r="L58" s="6" t="str">
        <f>IF(B58="",L57,B58)</f>
        <v>인게임기능</v>
      </c>
    </row>
    <row r="59" spans="1:12" ht="12.75" customHeight="1">
      <c r="A59">
        <f>ROW()-2</f>
        <v>57</v>
      </c>
      <c r="B59" s="76"/>
      <c r="C59" s="47"/>
      <c r="D59" s="66"/>
      <c r="E59" s="69" t="s">
        <v>215</v>
      </c>
      <c r="F59" s="70" t="s">
        <v>216</v>
      </c>
      <c r="G59" s="81" t="s">
        <v>217</v>
      </c>
      <c r="H59" s="82" t="s">
        <v>218</v>
      </c>
      <c r="I59" s="3" t="s">
        <v>151</v>
      </c>
      <c r="J59" s="53"/>
      <c r="L59" s="6" t="str">
        <f>IF(B59="",L58,B59)</f>
        <v>인게임기능</v>
      </c>
    </row>
    <row r="60" spans="2:9" ht="12.75" customHeight="1">
      <c r="B60" s="77"/>
      <c r="C60" s="71"/>
      <c r="D60" s="27" t="s">
        <v>219</v>
      </c>
      <c r="E60" s="44" t="s">
        <v>220</v>
      </c>
      <c r="F60" s="64"/>
      <c r="G60" s="49" t="s">
        <v>221</v>
      </c>
      <c r="H60" s="52" t="s">
        <v>222</v>
      </c>
      <c r="I60" s="3" t="s">
        <v>32</v>
      </c>
    </row>
    <row r="61" spans="2:9" ht="12.75" customHeight="1">
      <c r="B61" s="78"/>
      <c r="C61" s="72"/>
      <c r="D61" s="46"/>
      <c r="E61" s="44" t="s">
        <v>223</v>
      </c>
      <c r="F61" s="50" t="s">
        <v>224</v>
      </c>
      <c r="G61" s="50" t="s">
        <v>225</v>
      </c>
      <c r="H61" s="52" t="s">
        <v>226</v>
      </c>
      <c r="I61" s="3" t="s">
        <v>32</v>
      </c>
    </row>
    <row r="62" spans="2:9" ht="12.75" customHeight="1">
      <c r="B62" s="79"/>
      <c r="C62" s="73"/>
      <c r="D62" s="46"/>
      <c r="E62" s="44" t="s">
        <v>227</v>
      </c>
      <c r="F62" s="50"/>
      <c r="G62" s="50" t="s">
        <v>228</v>
      </c>
      <c r="H62" s="52" t="s">
        <v>229</v>
      </c>
      <c r="I62" s="3" t="s">
        <v>32</v>
      </c>
    </row>
    <row r="63" spans="2:10" ht="12.75" customHeight="1">
      <c r="B63" s="79"/>
      <c r="C63" s="74"/>
      <c r="D63" s="47"/>
      <c r="E63" s="44" t="s">
        <v>230</v>
      </c>
      <c r="F63" s="50"/>
      <c r="G63" s="50" t="s">
        <v>231</v>
      </c>
      <c r="H63" s="52" t="s">
        <v>232</v>
      </c>
      <c r="I63" s="3" t="s">
        <v>53</v>
      </c>
      <c r="J63" s="53" t="s">
        <v>233</v>
      </c>
    </row>
  </sheetData>
  <mergeCells count="25">
    <mergeCell ref="B2:B7"/>
    <mergeCell ref="K2:K7"/>
    <mergeCell ref="D3:D4"/>
    <mergeCell ref="C3:C7"/>
    <mergeCell ref="D5:D6"/>
    <mergeCell ref="B8:B25"/>
    <mergeCell ref="C8:C25"/>
    <mergeCell ref="D14:D16"/>
    <mergeCell ref="D17:D18"/>
    <mergeCell ref="D19:D20"/>
    <mergeCell ref="D21:D24"/>
    <mergeCell ref="D26:D27"/>
    <mergeCell ref="C26:C42"/>
    <mergeCell ref="B26:B63"/>
    <mergeCell ref="D28:D30"/>
    <mergeCell ref="D32:D36"/>
    <mergeCell ref="D37:D38"/>
    <mergeCell ref="D39:D42"/>
    <mergeCell ref="D43:D46"/>
    <mergeCell ref="C43:C63"/>
    <mergeCell ref="D47:D49"/>
    <mergeCell ref="D50:D51"/>
    <mergeCell ref="D52:D54"/>
    <mergeCell ref="D55:D59"/>
    <mergeCell ref="D60:D63"/>
  </mergeCells>
  <conditionalFormatting sqref="I58">
    <cfRule type="containsText" dxfId="0" priority="1" operator="containsText" text="N/T">
      <formula>NOT(ISERROR(SEARCH("N/T", I58)))</formula>
    </cfRule>
  </conditionalFormatting>
  <conditionalFormatting sqref="I58">
    <cfRule type="containsText" dxfId="1" priority="2" operator="containsText" text="N/A">
      <formula>NOT(ISERROR(SEARCH("N/A", I58)))</formula>
    </cfRule>
  </conditionalFormatting>
  <conditionalFormatting sqref="I58">
    <cfRule type="containsText" dxfId="2" priority="3" operator="containsText" text="Block">
      <formula>NOT(ISERROR(SEARCH("Block", I58)))</formula>
    </cfRule>
  </conditionalFormatting>
  <conditionalFormatting sqref="I58">
    <cfRule type="containsText" dxfId="3" priority="4" operator="containsText" text="Fail">
      <formula>NOT(ISERROR(SEARCH("Fail", I58)))</formula>
    </cfRule>
  </conditionalFormatting>
  <conditionalFormatting sqref="I58">
    <cfRule type="containsText" dxfId="4" priority="5" operator="containsText" text="Pass">
      <formula>NOT(ISERROR(SEARCH("Pass", I58)))</formula>
    </cfRule>
  </conditionalFormatting>
  <conditionalFormatting sqref="I58">
    <cfRule type="containsBlanks" dxfId="5" priority="6">
      <formula>LEN(TRIM(I58))=0</formula>
    </cfRule>
  </conditionalFormatting>
  <conditionalFormatting sqref="I59">
    <cfRule type="containsText" dxfId="6" priority="7" operator="containsText" text="Pass">
      <formula>NOT(ISERROR(SEARCH("Pass", I59)))</formula>
    </cfRule>
  </conditionalFormatting>
  <conditionalFormatting sqref="I59">
    <cfRule type="containsText" dxfId="7" priority="8" operator="containsText" text="Fail">
      <formula>NOT(ISERROR(SEARCH("Fail", I59)))</formula>
    </cfRule>
  </conditionalFormatting>
  <conditionalFormatting sqref="I59">
    <cfRule type="containsText" dxfId="8" priority="9" operator="containsText" text="Block">
      <formula>NOT(ISERROR(SEARCH("Block", I59)))</formula>
    </cfRule>
  </conditionalFormatting>
  <conditionalFormatting sqref="I59">
    <cfRule type="containsText" dxfId="9" priority="10" operator="containsText" text="N/A">
      <formula>NOT(ISERROR(SEARCH("N/A", I59)))</formula>
    </cfRule>
  </conditionalFormatting>
  <conditionalFormatting sqref="I59">
    <cfRule type="containsText" dxfId="10" priority="11" operator="containsText" text="N/T">
      <formula>NOT(ISERROR(SEARCH("N/T", I59)))</formula>
    </cfRule>
  </conditionalFormatting>
  <conditionalFormatting sqref="I59">
    <cfRule type="containsBlanks" dxfId="11" priority="12">
      <formula>LEN(TRIM(I59))=0</formula>
    </cfRule>
  </conditionalFormatting>
  <conditionalFormatting sqref="I54">
    <cfRule type="containsText" dxfId="12" priority="13" operator="containsText" text="Pass">
      <formula>NOT(ISERROR(SEARCH("Pass", I53)))</formula>
    </cfRule>
  </conditionalFormatting>
  <conditionalFormatting sqref="I54">
    <cfRule type="containsBlanks" dxfId="13" priority="14">
      <formula>LEN(TRIM(I53))=0</formula>
    </cfRule>
  </conditionalFormatting>
  <conditionalFormatting sqref="I54">
    <cfRule type="containsText" dxfId="14" priority="15" operator="containsText" text="N/T">
      <formula>NOT(ISERROR(SEARCH("N/T", I53)))</formula>
    </cfRule>
  </conditionalFormatting>
  <conditionalFormatting sqref="I54">
    <cfRule type="containsText" dxfId="15" priority="16" operator="containsText" text="N/A">
      <formula>NOT(ISERROR(SEARCH("N/A", I53)))</formula>
    </cfRule>
  </conditionalFormatting>
  <conditionalFormatting sqref="I54">
    <cfRule type="containsText" dxfId="16" priority="17" operator="containsText" text="Block">
      <formula>NOT(ISERROR(SEARCH("Block", I53)))</formula>
    </cfRule>
  </conditionalFormatting>
  <conditionalFormatting sqref="I54">
    <cfRule type="containsText" dxfId="17" priority="18" operator="containsText" text="Fail">
      <formula>NOT(ISERROR(SEARCH("Fail", I53)))</formula>
    </cfRule>
  </conditionalFormatting>
  <conditionalFormatting sqref="I49">
    <cfRule type="containsText" dxfId="18" priority="19" operator="containsText" text="Pass">
      <formula>NOT(ISERROR(SEARCH("Pass", I48)))</formula>
    </cfRule>
  </conditionalFormatting>
  <conditionalFormatting sqref="I49">
    <cfRule type="containsBlanks" dxfId="19" priority="20">
      <formula>LEN(TRIM(I48))=0</formula>
    </cfRule>
  </conditionalFormatting>
  <conditionalFormatting sqref="I49">
    <cfRule type="containsText" dxfId="20" priority="21" operator="containsText" text="N/T">
      <formula>NOT(ISERROR(SEARCH("N/T", I48)))</formula>
    </cfRule>
  </conditionalFormatting>
  <conditionalFormatting sqref="I49">
    <cfRule type="containsText" dxfId="21" priority="22" operator="containsText" text="N/A">
      <formula>NOT(ISERROR(SEARCH("N/A", I48)))</formula>
    </cfRule>
  </conditionalFormatting>
  <conditionalFormatting sqref="I49">
    <cfRule type="containsText" dxfId="22" priority="23" operator="containsText" text="Block">
      <formula>NOT(ISERROR(SEARCH("Block", I48)))</formula>
    </cfRule>
  </conditionalFormatting>
  <conditionalFormatting sqref="I49">
    <cfRule type="containsText" dxfId="23" priority="24" operator="containsText" text="Fail">
      <formula>NOT(ISERROR(SEARCH("Fail", I48)))</formula>
    </cfRule>
  </conditionalFormatting>
  <conditionalFormatting sqref="I63">
    <cfRule type="containsText" dxfId="24" priority="25" operator="containsText" text="Pass">
      <formula>NOT(ISERROR(SEARCH("Pass", I59)))</formula>
    </cfRule>
  </conditionalFormatting>
  <conditionalFormatting sqref="I63">
    <cfRule type="containsText" dxfId="25" priority="26" operator="containsText" text="Fail">
      <formula>NOT(ISERROR(SEARCH("Fail", I59)))</formula>
    </cfRule>
  </conditionalFormatting>
  <conditionalFormatting sqref="I63">
    <cfRule type="containsText" dxfId="26" priority="27" operator="containsText" text="Block">
      <formula>NOT(ISERROR(SEARCH("Block", I59)))</formula>
    </cfRule>
  </conditionalFormatting>
  <conditionalFormatting sqref="I63">
    <cfRule type="containsText" dxfId="27" priority="28" operator="containsText" text="N/A">
      <formula>NOT(ISERROR(SEARCH("N/A", I59)))</formula>
    </cfRule>
  </conditionalFormatting>
  <conditionalFormatting sqref="I63">
    <cfRule type="containsText" dxfId="28" priority="29" operator="containsText" text="N/T">
      <formula>NOT(ISERROR(SEARCH("N/T", I59)))</formula>
    </cfRule>
  </conditionalFormatting>
  <conditionalFormatting sqref="I63">
    <cfRule type="containsBlanks" dxfId="29" priority="30">
      <formula>LEN(TRIM(I59))=0</formula>
    </cfRule>
  </conditionalFormatting>
  <conditionalFormatting sqref="I62">
    <cfRule type="containsText" dxfId="30" priority="31" operator="containsText" text="Block">
      <formula>NOT(ISERROR(SEARCH("Block", I58)))</formula>
    </cfRule>
  </conditionalFormatting>
  <conditionalFormatting sqref="I62">
    <cfRule type="containsText" dxfId="31" priority="32" operator="containsText" text="N/A">
      <formula>NOT(ISERROR(SEARCH("N/A", I58)))</formula>
    </cfRule>
  </conditionalFormatting>
  <conditionalFormatting sqref="I62">
    <cfRule type="containsText" dxfId="32" priority="33" operator="containsText" text="N/T">
      <formula>NOT(ISERROR(SEARCH("N/T", I58)))</formula>
    </cfRule>
  </conditionalFormatting>
  <conditionalFormatting sqref="I62">
    <cfRule type="containsBlanks" dxfId="33" priority="34">
      <formula>LEN(TRIM(I58))=0</formula>
    </cfRule>
  </conditionalFormatting>
  <conditionalFormatting sqref="I62">
    <cfRule type="containsText" dxfId="34" priority="35" operator="containsText" text="Pass">
      <formula>NOT(ISERROR(SEARCH("Pass", I58)))</formula>
    </cfRule>
  </conditionalFormatting>
  <conditionalFormatting sqref="I62">
    <cfRule type="containsText" dxfId="35" priority="36" operator="containsText" text="Fail">
      <formula>NOT(ISERROR(SEARCH("Fail", I58)))</formula>
    </cfRule>
  </conditionalFormatting>
  <conditionalFormatting sqref="I61">
    <cfRule type="containsText" dxfId="36" priority="37" operator="containsText" text="Pass">
      <formula>NOT(ISERROR(SEARCH("Pass", I57)))</formula>
    </cfRule>
  </conditionalFormatting>
  <conditionalFormatting sqref="I61">
    <cfRule type="containsBlanks" dxfId="37" priority="38">
      <formula>LEN(TRIM(I57))=0</formula>
    </cfRule>
  </conditionalFormatting>
  <conditionalFormatting sqref="I61">
    <cfRule type="containsText" dxfId="38" priority="39" operator="containsText" text="N/T">
      <formula>NOT(ISERROR(SEARCH("N/T", I57)))</formula>
    </cfRule>
  </conditionalFormatting>
  <conditionalFormatting sqref="I61">
    <cfRule type="containsText" dxfId="39" priority="40" operator="containsText" text="N/A">
      <formula>NOT(ISERROR(SEARCH("N/A", I57)))</formula>
    </cfRule>
  </conditionalFormatting>
  <conditionalFormatting sqref="I61">
    <cfRule type="containsText" dxfId="40" priority="41" operator="containsText" text="Block">
      <formula>NOT(ISERROR(SEARCH("Block", I57)))</formula>
    </cfRule>
  </conditionalFormatting>
  <conditionalFormatting sqref="I61">
    <cfRule type="containsText" dxfId="41" priority="42" operator="containsText" text="Fail">
      <formula>NOT(ISERROR(SEARCH("Fail", I57)))</formula>
    </cfRule>
  </conditionalFormatting>
  <conditionalFormatting sqref="I60">
    <cfRule type="containsText" dxfId="42" priority="43" operator="containsText" text="Pass">
      <formula>NOT(ISERROR(SEARCH("Pass", I56)))</formula>
    </cfRule>
  </conditionalFormatting>
  <conditionalFormatting sqref="I60">
    <cfRule type="containsBlanks" dxfId="43" priority="44">
      <formula>LEN(TRIM(I56))=0</formula>
    </cfRule>
  </conditionalFormatting>
  <conditionalFormatting sqref="I60">
    <cfRule type="containsText" dxfId="44" priority="45" operator="containsText" text="N/T">
      <formula>NOT(ISERROR(SEARCH("N/T", I56)))</formula>
    </cfRule>
  </conditionalFormatting>
  <conditionalFormatting sqref="I60">
    <cfRule type="containsText" dxfId="45" priority="46" operator="containsText" text="N/A">
      <formula>NOT(ISERROR(SEARCH("N/A", I56)))</formula>
    </cfRule>
  </conditionalFormatting>
  <conditionalFormatting sqref="I60">
    <cfRule type="containsText" dxfId="46" priority="47" operator="containsText" text="Block">
      <formula>NOT(ISERROR(SEARCH("Block", I56)))</formula>
    </cfRule>
  </conditionalFormatting>
  <conditionalFormatting sqref="I60">
    <cfRule type="containsText" dxfId="47" priority="48" operator="containsText" text="Fail">
      <formula>NOT(ISERROR(SEARCH("Fail", I56)))</formula>
    </cfRule>
  </conditionalFormatting>
  <conditionalFormatting sqref="I57">
    <cfRule type="containsText" dxfId="48" priority="49" operator="containsText" text="Block">
      <formula>NOT(ISERROR(SEARCH("Block", I55)))</formula>
    </cfRule>
  </conditionalFormatting>
  <conditionalFormatting sqref="I57">
    <cfRule type="containsText" dxfId="49" priority="50" operator="containsText" text="N/A">
      <formula>NOT(ISERROR(SEARCH("N/A", I55)))</formula>
    </cfRule>
  </conditionalFormatting>
  <conditionalFormatting sqref="I57">
    <cfRule type="containsText" dxfId="50" priority="51" operator="containsText" text="N/T">
      <formula>NOT(ISERROR(SEARCH("N/T", I55)))</formula>
    </cfRule>
  </conditionalFormatting>
  <conditionalFormatting sqref="I57">
    <cfRule type="containsBlanks" dxfId="51" priority="52">
      <formula>LEN(TRIM(I55))=0</formula>
    </cfRule>
  </conditionalFormatting>
  <conditionalFormatting sqref="I57">
    <cfRule type="containsText" dxfId="52" priority="53" operator="containsText" text="Pass">
      <formula>NOT(ISERROR(SEARCH("Pass", I55)))</formula>
    </cfRule>
  </conditionalFormatting>
  <conditionalFormatting sqref="I57">
    <cfRule type="containsText" dxfId="53" priority="54" operator="containsText" text="Fail">
      <formula>NOT(ISERROR(SEARCH("Fail", I55)))</formula>
    </cfRule>
  </conditionalFormatting>
  <conditionalFormatting sqref="I56">
    <cfRule type="containsText" dxfId="54" priority="55" operator="containsText" text="Block">
      <formula>NOT(ISERROR(SEARCH("Block", I54)))</formula>
    </cfRule>
  </conditionalFormatting>
  <conditionalFormatting sqref="I56">
    <cfRule type="containsText" dxfId="55" priority="56" operator="containsText" text="N/A">
      <formula>NOT(ISERROR(SEARCH("N/A", I54)))</formula>
    </cfRule>
  </conditionalFormatting>
  <conditionalFormatting sqref="I56">
    <cfRule type="containsText" dxfId="56" priority="57" operator="containsText" text="N/T">
      <formula>NOT(ISERROR(SEARCH("N/T", I54)))</formula>
    </cfRule>
  </conditionalFormatting>
  <conditionalFormatting sqref="I56">
    <cfRule type="containsBlanks" dxfId="57" priority="58">
      <formula>LEN(TRIM(I54))=0</formula>
    </cfRule>
  </conditionalFormatting>
  <conditionalFormatting sqref="I56">
    <cfRule type="containsText" dxfId="58" priority="59" operator="containsText" text="Pass">
      <formula>NOT(ISERROR(SEARCH("Pass", I54)))</formula>
    </cfRule>
  </conditionalFormatting>
  <conditionalFormatting sqref="I56">
    <cfRule type="containsText" dxfId="59" priority="60" operator="containsText" text="Fail">
      <formula>NOT(ISERROR(SEARCH("Fail", I54)))</formula>
    </cfRule>
  </conditionalFormatting>
  <conditionalFormatting sqref="I55">
    <cfRule type="containsText" dxfId="60" priority="61" operator="containsText" text="Pass">
      <formula>NOT(ISERROR(SEARCH("Pass", I53)))</formula>
    </cfRule>
  </conditionalFormatting>
  <conditionalFormatting sqref="I55">
    <cfRule type="containsBlanks" dxfId="61" priority="62">
      <formula>LEN(TRIM(I53))=0</formula>
    </cfRule>
  </conditionalFormatting>
  <conditionalFormatting sqref="I55">
    <cfRule type="containsText" dxfId="62" priority="63" operator="containsText" text="N/T">
      <formula>NOT(ISERROR(SEARCH("N/T", I53)))</formula>
    </cfRule>
  </conditionalFormatting>
  <conditionalFormatting sqref="I55">
    <cfRule type="containsText" dxfId="63" priority="64" operator="containsText" text="N/A">
      <formula>NOT(ISERROR(SEARCH("N/A", I53)))</formula>
    </cfRule>
  </conditionalFormatting>
  <conditionalFormatting sqref="I55">
    <cfRule type="containsText" dxfId="64" priority="65" operator="containsText" text="Block">
      <formula>NOT(ISERROR(SEARCH("Block", I53)))</formula>
    </cfRule>
  </conditionalFormatting>
  <conditionalFormatting sqref="I55">
    <cfRule type="containsText" dxfId="65" priority="66" operator="containsText" text="Fail">
      <formula>NOT(ISERROR(SEARCH("Fail", I53)))</formula>
    </cfRule>
  </conditionalFormatting>
  <conditionalFormatting sqref="I48">
    <cfRule type="containsText" dxfId="66" priority="67" operator="containsText" text="Pass">
      <formula>NOT(ISERROR(SEARCH("Pass", I48)))</formula>
    </cfRule>
  </conditionalFormatting>
  <conditionalFormatting sqref="I48">
    <cfRule type="containsBlanks" dxfId="67" priority="68">
      <formula>LEN(TRIM(I48))=0</formula>
    </cfRule>
  </conditionalFormatting>
  <conditionalFormatting sqref="I48">
    <cfRule type="containsText" dxfId="68" priority="69" operator="containsText" text="N/T">
      <formula>NOT(ISERROR(SEARCH("N/T", I48)))</formula>
    </cfRule>
  </conditionalFormatting>
  <conditionalFormatting sqref="I48">
    <cfRule type="containsText" dxfId="69" priority="70" operator="containsText" text="N/A">
      <formula>NOT(ISERROR(SEARCH("N/A", I48)))</formula>
    </cfRule>
  </conditionalFormatting>
  <conditionalFormatting sqref="I48">
    <cfRule type="containsText" dxfId="70" priority="71" operator="containsText" text="Block">
      <formula>NOT(ISERROR(SEARCH("Block", I48)))</formula>
    </cfRule>
  </conditionalFormatting>
  <conditionalFormatting sqref="I48">
    <cfRule type="containsText" dxfId="71" priority="72" operator="containsText" text="Fail">
      <formula>NOT(ISERROR(SEARCH("Fail", I48)))</formula>
    </cfRule>
  </conditionalFormatting>
  <conditionalFormatting sqref="I53">
    <cfRule type="containsText" dxfId="72" priority="73" operator="containsText" text="Block">
      <formula>NOT(ISERROR(SEARCH("Block", I52)))</formula>
    </cfRule>
  </conditionalFormatting>
  <conditionalFormatting sqref="I53">
    <cfRule type="containsText" dxfId="73" priority="74" operator="containsText" text="N/A">
      <formula>NOT(ISERROR(SEARCH("N/A", I52)))</formula>
    </cfRule>
  </conditionalFormatting>
  <conditionalFormatting sqref="I53">
    <cfRule type="containsText" dxfId="74" priority="75" operator="containsText" text="N/T">
      <formula>NOT(ISERROR(SEARCH("N/T", I52)))</formula>
    </cfRule>
  </conditionalFormatting>
  <conditionalFormatting sqref="I53">
    <cfRule type="containsBlanks" dxfId="75" priority="76">
      <formula>LEN(TRIM(I52))=0</formula>
    </cfRule>
  </conditionalFormatting>
  <conditionalFormatting sqref="I53">
    <cfRule type="containsText" dxfId="76" priority="77" operator="containsText" text="Pass">
      <formula>NOT(ISERROR(SEARCH("Pass", I52)))</formula>
    </cfRule>
  </conditionalFormatting>
  <conditionalFormatting sqref="I53">
    <cfRule type="containsText" dxfId="77" priority="78" operator="containsText" text="Fail">
      <formula>NOT(ISERROR(SEARCH("Fail", I52)))</formula>
    </cfRule>
  </conditionalFormatting>
  <conditionalFormatting sqref="I52">
    <cfRule type="containsText" dxfId="78" priority="79" operator="containsText" text="Pass">
      <formula>NOT(ISERROR(SEARCH("Pass", I51)))</formula>
    </cfRule>
  </conditionalFormatting>
  <conditionalFormatting sqref="I52">
    <cfRule type="containsBlanks" dxfId="79" priority="80">
      <formula>LEN(TRIM(I51))=0</formula>
    </cfRule>
  </conditionalFormatting>
  <conditionalFormatting sqref="I52">
    <cfRule type="containsText" dxfId="80" priority="81" operator="containsText" text="N/T">
      <formula>NOT(ISERROR(SEARCH("N/T", I51)))</formula>
    </cfRule>
  </conditionalFormatting>
  <conditionalFormatting sqref="I52">
    <cfRule type="containsText" dxfId="81" priority="82" operator="containsText" text="N/A">
      <formula>NOT(ISERROR(SEARCH("N/A", I51)))</formula>
    </cfRule>
  </conditionalFormatting>
  <conditionalFormatting sqref="I52">
    <cfRule type="containsText" dxfId="82" priority="83" operator="containsText" text="Block">
      <formula>NOT(ISERROR(SEARCH("Block", I51)))</formula>
    </cfRule>
  </conditionalFormatting>
  <conditionalFormatting sqref="I52">
    <cfRule type="containsText" dxfId="83" priority="84" operator="containsText" text="Fail">
      <formula>NOT(ISERROR(SEARCH("Fail", I51)))</formula>
    </cfRule>
  </conditionalFormatting>
  <conditionalFormatting sqref="I47">
    <cfRule type="containsText" dxfId="84" priority="85" operator="containsText" text="Block">
      <formula>NOT(ISERROR(SEARCH("Block", I47)))</formula>
    </cfRule>
  </conditionalFormatting>
  <conditionalFormatting sqref="I47">
    <cfRule type="containsText" dxfId="85" priority="86" operator="containsText" text="N/A">
      <formula>NOT(ISERROR(SEARCH("N/A", I47)))</formula>
    </cfRule>
  </conditionalFormatting>
  <conditionalFormatting sqref="I47">
    <cfRule type="containsText" dxfId="86" priority="87" operator="containsText" text="N/T">
      <formula>NOT(ISERROR(SEARCH("N/T", I47)))</formula>
    </cfRule>
  </conditionalFormatting>
  <conditionalFormatting sqref="I47">
    <cfRule type="containsBlanks" dxfId="87" priority="88">
      <formula>LEN(TRIM(I47))=0</formula>
    </cfRule>
  </conditionalFormatting>
  <conditionalFormatting sqref="I47">
    <cfRule type="containsText" dxfId="88" priority="89" operator="containsText" text="Pass">
      <formula>NOT(ISERROR(SEARCH("Pass", I47)))</formula>
    </cfRule>
  </conditionalFormatting>
  <conditionalFormatting sqref="I47">
    <cfRule type="containsText" dxfId="89" priority="90" operator="containsText" text="Fail">
      <formula>NOT(ISERROR(SEARCH("Fail", I47)))</formula>
    </cfRule>
  </conditionalFormatting>
  <conditionalFormatting sqref="I50">
    <cfRule type="containsText" dxfId="90" priority="91" operator="containsText" text="Block">
      <formula>NOT(ISERROR(SEARCH("Block", I49)))</formula>
    </cfRule>
  </conditionalFormatting>
  <conditionalFormatting sqref="I50">
    <cfRule type="containsText" dxfId="91" priority="92" operator="containsText" text="N/A">
      <formula>NOT(ISERROR(SEARCH("N/A", I49)))</formula>
    </cfRule>
  </conditionalFormatting>
  <conditionalFormatting sqref="I50">
    <cfRule type="containsText" dxfId="92" priority="93" operator="containsText" text="N/T">
      <formula>NOT(ISERROR(SEARCH("N/T", I49)))</formula>
    </cfRule>
  </conditionalFormatting>
  <conditionalFormatting sqref="I50">
    <cfRule type="containsBlanks" dxfId="93" priority="94">
      <formula>LEN(TRIM(I49))=0</formula>
    </cfRule>
  </conditionalFormatting>
  <conditionalFormatting sqref="I50">
    <cfRule type="containsText" dxfId="94" priority="95" operator="containsText" text="Pass">
      <formula>NOT(ISERROR(SEARCH("Pass", I49)))</formula>
    </cfRule>
  </conditionalFormatting>
  <conditionalFormatting sqref="I50">
    <cfRule type="containsText" dxfId="95" priority="96" operator="containsText" text="Fail">
      <formula>NOT(ISERROR(SEARCH("Fail", I49)))</formula>
    </cfRule>
  </conditionalFormatting>
  <conditionalFormatting sqref="I51">
    <cfRule type="containsText" dxfId="96" priority="97" operator="containsText" text="Block">
      <formula>NOT(ISERROR(SEARCH("Block", I50)))</formula>
    </cfRule>
  </conditionalFormatting>
  <conditionalFormatting sqref="I51">
    <cfRule type="containsText" dxfId="97" priority="98" operator="containsText" text="N/A">
      <formula>NOT(ISERROR(SEARCH("N/A", I50)))</formula>
    </cfRule>
  </conditionalFormatting>
  <conditionalFormatting sqref="I51">
    <cfRule type="containsText" dxfId="98" priority="99" operator="containsText" text="N/T">
      <formula>NOT(ISERROR(SEARCH("N/T", I50)))</formula>
    </cfRule>
  </conditionalFormatting>
  <conditionalFormatting sqref="I51">
    <cfRule type="containsBlanks" dxfId="99" priority="100">
      <formula>LEN(TRIM(I50))=0</formula>
    </cfRule>
  </conditionalFormatting>
  <conditionalFormatting sqref="I51">
    <cfRule type="containsText" dxfId="100" priority="101" operator="containsText" text="Pass">
      <formula>NOT(ISERROR(SEARCH("Pass", I50)))</formula>
    </cfRule>
  </conditionalFormatting>
  <conditionalFormatting sqref="I51">
    <cfRule type="containsText" dxfId="101" priority="102" operator="containsText" text="Fail">
      <formula>NOT(ISERROR(SEARCH("Fail", I50)))</formula>
    </cfRule>
  </conditionalFormatting>
  <conditionalFormatting sqref="I46">
    <cfRule type="containsText" dxfId="102" priority="103" operator="containsText" text="Fail">
      <formula>NOT(ISERROR(SEARCH("Fail", I46)))</formula>
    </cfRule>
  </conditionalFormatting>
  <conditionalFormatting sqref="I46">
    <cfRule type="containsText" dxfId="103" priority="104" operator="containsText" text="Pass">
      <formula>NOT(ISERROR(SEARCH("Pass", I46)))</formula>
    </cfRule>
  </conditionalFormatting>
  <conditionalFormatting sqref="I46">
    <cfRule type="containsBlanks" dxfId="104" priority="105">
      <formula>LEN(TRIM(I46))=0</formula>
    </cfRule>
  </conditionalFormatting>
  <conditionalFormatting sqref="I46">
    <cfRule type="containsText" dxfId="105" priority="106" operator="containsText" text="N/T">
      <formula>NOT(ISERROR(SEARCH("N/T", I46)))</formula>
    </cfRule>
  </conditionalFormatting>
  <conditionalFormatting sqref="I46">
    <cfRule type="containsText" dxfId="106" priority="107" operator="containsText" text="N/A">
      <formula>NOT(ISERROR(SEARCH("N/A", I46)))</formula>
    </cfRule>
  </conditionalFormatting>
  <conditionalFormatting sqref="I46">
    <cfRule type="containsText" dxfId="107" priority="108" operator="containsText" text="Block">
      <formula>NOT(ISERROR(SEARCH("Block", I46)))</formula>
    </cfRule>
  </conditionalFormatting>
  <conditionalFormatting sqref="I45">
    <cfRule type="containsText" dxfId="108" priority="109" operator="containsText" text="Fail">
      <formula>NOT(ISERROR(SEARCH("Fail", I45)))</formula>
    </cfRule>
  </conditionalFormatting>
  <conditionalFormatting sqref="I45">
    <cfRule type="containsText" dxfId="109" priority="110" operator="containsText" text="Pass">
      <formula>NOT(ISERROR(SEARCH("Pass", I45)))</formula>
    </cfRule>
  </conditionalFormatting>
  <conditionalFormatting sqref="I45">
    <cfRule type="containsBlanks" dxfId="110" priority="111">
      <formula>LEN(TRIM(I45))=0</formula>
    </cfRule>
  </conditionalFormatting>
  <conditionalFormatting sqref="I45">
    <cfRule type="containsText" dxfId="111" priority="112" operator="containsText" text="N/T">
      <formula>NOT(ISERROR(SEARCH("N/T", I45)))</formula>
    </cfRule>
  </conditionalFormatting>
  <conditionalFormatting sqref="I45">
    <cfRule type="containsText" dxfId="112" priority="113" operator="containsText" text="N/A">
      <formula>NOT(ISERROR(SEARCH("N/A", I45)))</formula>
    </cfRule>
  </conditionalFormatting>
  <conditionalFormatting sqref="I45">
    <cfRule type="containsText" dxfId="113" priority="114" operator="containsText" text="Block">
      <formula>NOT(ISERROR(SEARCH("Block", I45)))</formula>
    </cfRule>
  </conditionalFormatting>
  <conditionalFormatting sqref="I44">
    <cfRule type="containsText" dxfId="114" priority="115" operator="containsText" text="N/A">
      <formula>NOT(ISERROR(SEARCH("N/A", I44)))</formula>
    </cfRule>
  </conditionalFormatting>
  <conditionalFormatting sqref="I44">
    <cfRule type="containsText" dxfId="115" priority="116" operator="containsText" text="N/T">
      <formula>NOT(ISERROR(SEARCH("N/T", I44)))</formula>
    </cfRule>
  </conditionalFormatting>
  <conditionalFormatting sqref="I44">
    <cfRule type="containsBlanks" dxfId="116" priority="117">
      <formula>LEN(TRIM(I44))=0</formula>
    </cfRule>
  </conditionalFormatting>
  <conditionalFormatting sqref="I44">
    <cfRule type="containsText" dxfId="117" priority="118" operator="containsText" text="Pass">
      <formula>NOT(ISERROR(SEARCH("Pass", I44)))</formula>
    </cfRule>
  </conditionalFormatting>
  <conditionalFormatting sqref="I44">
    <cfRule type="containsText" dxfId="118" priority="119" operator="containsText" text="Fail">
      <formula>NOT(ISERROR(SEARCH("Fail", I44)))</formula>
    </cfRule>
  </conditionalFormatting>
  <conditionalFormatting sqref="I44">
    <cfRule type="containsText" dxfId="119" priority="120" operator="containsText" text="Block">
      <formula>NOT(ISERROR(SEARCH("Block", I44)))</formula>
    </cfRule>
  </conditionalFormatting>
  <conditionalFormatting sqref="I43">
    <cfRule type="containsText" dxfId="120" priority="121" operator="containsText" text="Fail">
      <formula>NOT(ISERROR(SEARCH("Fail", I43)))</formula>
    </cfRule>
  </conditionalFormatting>
  <conditionalFormatting sqref="I43">
    <cfRule type="containsText" dxfId="121" priority="122" operator="containsText" text="Pass">
      <formula>NOT(ISERROR(SEARCH("Pass", I43)))</formula>
    </cfRule>
  </conditionalFormatting>
  <conditionalFormatting sqref="I43">
    <cfRule type="containsBlanks" dxfId="122" priority="123">
      <formula>LEN(TRIM(I43))=0</formula>
    </cfRule>
  </conditionalFormatting>
  <conditionalFormatting sqref="I43">
    <cfRule type="containsText" dxfId="123" priority="124" operator="containsText" text="N/T">
      <formula>NOT(ISERROR(SEARCH("N/T", I43)))</formula>
    </cfRule>
  </conditionalFormatting>
  <conditionalFormatting sqref="I43">
    <cfRule type="containsText" dxfId="124" priority="125" operator="containsText" text="N/A">
      <formula>NOT(ISERROR(SEARCH("N/A", I43)))</formula>
    </cfRule>
  </conditionalFormatting>
  <conditionalFormatting sqref="I43">
    <cfRule type="containsText" dxfId="125" priority="126" operator="containsText" text="Block">
      <formula>NOT(ISERROR(SEARCH("Block", I43)))</formula>
    </cfRule>
  </conditionalFormatting>
  <conditionalFormatting sqref="I35">
    <cfRule type="containsText" dxfId="126" priority="127" operator="containsText" text="N/A">
      <formula>NOT(ISERROR(SEARCH("N/A", I35)))</formula>
    </cfRule>
  </conditionalFormatting>
  <conditionalFormatting sqref="I35">
    <cfRule type="containsText" dxfId="127" priority="128" operator="containsText" text="Block">
      <formula>NOT(ISERROR(SEARCH("Block", I35)))</formula>
    </cfRule>
  </conditionalFormatting>
  <conditionalFormatting sqref="I35">
    <cfRule type="containsText" dxfId="128" priority="129" operator="containsText" text="Fail">
      <formula>NOT(ISERROR(SEARCH("Fail", I35)))</formula>
    </cfRule>
  </conditionalFormatting>
  <conditionalFormatting sqref="I35">
    <cfRule type="containsText" dxfId="129" priority="130" operator="containsText" text="Pass">
      <formula>NOT(ISERROR(SEARCH("Pass", I35)))</formula>
    </cfRule>
  </conditionalFormatting>
  <conditionalFormatting sqref="I35">
    <cfRule type="containsBlanks" dxfId="130" priority="131">
      <formula>LEN(TRIM(I35))=0</formula>
    </cfRule>
  </conditionalFormatting>
  <conditionalFormatting sqref="I35">
    <cfRule type="containsText" dxfId="131" priority="132" operator="containsText" text="N/T">
      <formula>NOT(ISERROR(SEARCH("N/T", I35)))</formula>
    </cfRule>
  </conditionalFormatting>
  <conditionalFormatting sqref="I36">
    <cfRule type="containsBlanks" dxfId="132" priority="133">
      <formula>LEN(TRIM(I36))=0</formula>
    </cfRule>
  </conditionalFormatting>
  <conditionalFormatting sqref="I36">
    <cfRule type="containsText" dxfId="133" priority="134" operator="containsText" text="Pass">
      <formula>NOT(ISERROR(SEARCH("Pass", I36)))</formula>
    </cfRule>
  </conditionalFormatting>
  <conditionalFormatting sqref="I36">
    <cfRule type="containsText" dxfId="134" priority="135" operator="containsText" text="Fail">
      <formula>NOT(ISERROR(SEARCH("Fail", I36)))</formula>
    </cfRule>
  </conditionalFormatting>
  <conditionalFormatting sqref="I36">
    <cfRule type="containsText" dxfId="135" priority="136" operator="containsText" text="Block">
      <formula>NOT(ISERROR(SEARCH("Block", I36)))</formula>
    </cfRule>
  </conditionalFormatting>
  <conditionalFormatting sqref="I36">
    <cfRule type="containsText" dxfId="136" priority="137" operator="containsText" text="N/A">
      <formula>NOT(ISERROR(SEARCH("N/A", I36)))</formula>
    </cfRule>
  </conditionalFormatting>
  <conditionalFormatting sqref="I36">
    <cfRule type="containsText" dxfId="137" priority="138" operator="containsText" text="N/T">
      <formula>NOT(ISERROR(SEARCH("N/T", I36)))</formula>
    </cfRule>
  </conditionalFormatting>
  <conditionalFormatting sqref="I34">
    <cfRule type="containsText" dxfId="138" priority="139" operator="containsText" text="N/A">
      <formula>NOT(ISERROR(SEARCH("N/A", I34)))</formula>
    </cfRule>
  </conditionalFormatting>
  <conditionalFormatting sqref="I34">
    <cfRule type="containsText" dxfId="139" priority="140" operator="containsText" text="Block">
      <formula>NOT(ISERROR(SEARCH("Block", I34)))</formula>
    </cfRule>
  </conditionalFormatting>
  <conditionalFormatting sqref="I34">
    <cfRule type="containsText" dxfId="140" priority="141" operator="containsText" text="Fail">
      <formula>NOT(ISERROR(SEARCH("Fail", I34)))</formula>
    </cfRule>
  </conditionalFormatting>
  <conditionalFormatting sqref="I34">
    <cfRule type="containsText" dxfId="141" priority="142" operator="containsText" text="Pass">
      <formula>NOT(ISERROR(SEARCH("Pass", I34)))</formula>
    </cfRule>
  </conditionalFormatting>
  <conditionalFormatting sqref="I34">
    <cfRule type="containsBlanks" dxfId="142" priority="143">
      <formula>LEN(TRIM(I34))=0</formula>
    </cfRule>
  </conditionalFormatting>
  <conditionalFormatting sqref="I34">
    <cfRule type="containsText" dxfId="143" priority="144" operator="containsText" text="N/T">
      <formula>NOT(ISERROR(SEARCH("N/T", I34)))</formula>
    </cfRule>
  </conditionalFormatting>
  <conditionalFormatting sqref="I33">
    <cfRule type="containsText" dxfId="144" priority="145" operator="containsText" text="N/T">
      <formula>NOT(ISERROR(SEARCH("N/T", I33)))</formula>
    </cfRule>
  </conditionalFormatting>
  <conditionalFormatting sqref="I33">
    <cfRule type="containsBlanks" dxfId="145" priority="146">
      <formula>LEN(TRIM(I33))=0</formula>
    </cfRule>
  </conditionalFormatting>
  <conditionalFormatting sqref="I33">
    <cfRule type="containsText" dxfId="146" priority="147" operator="containsText" text="Pass">
      <formula>NOT(ISERROR(SEARCH("Pass", I33)))</formula>
    </cfRule>
  </conditionalFormatting>
  <conditionalFormatting sqref="I33">
    <cfRule type="containsText" dxfId="147" priority="148" operator="containsText" text="Fail">
      <formula>NOT(ISERROR(SEARCH("Fail", I33)))</formula>
    </cfRule>
  </conditionalFormatting>
  <conditionalFormatting sqref="I33">
    <cfRule type="containsText" dxfId="148" priority="149" operator="containsText" text="Block">
      <formula>NOT(ISERROR(SEARCH("Block", I33)))</formula>
    </cfRule>
  </conditionalFormatting>
  <conditionalFormatting sqref="I33">
    <cfRule type="containsText" dxfId="149" priority="150" operator="containsText" text="N/A">
      <formula>NOT(ISERROR(SEARCH("N/A", I33)))</formula>
    </cfRule>
  </conditionalFormatting>
  <conditionalFormatting sqref="I32">
    <cfRule type="containsText" dxfId="150" priority="151" operator="containsText" text="Block">
      <formula>NOT(ISERROR(SEARCH("Block", I32)))</formula>
    </cfRule>
  </conditionalFormatting>
  <conditionalFormatting sqref="I32">
    <cfRule type="containsText" dxfId="151" priority="152" operator="containsText" text="Fail">
      <formula>NOT(ISERROR(SEARCH("Fail", I32)))</formula>
    </cfRule>
  </conditionalFormatting>
  <conditionalFormatting sqref="I32">
    <cfRule type="containsText" dxfId="152" priority="153" operator="containsText" text="Pass">
      <formula>NOT(ISERROR(SEARCH("Pass", I32)))</formula>
    </cfRule>
  </conditionalFormatting>
  <conditionalFormatting sqref="I32">
    <cfRule type="containsBlanks" dxfId="153" priority="154">
      <formula>LEN(TRIM(I32))=0</formula>
    </cfRule>
  </conditionalFormatting>
  <conditionalFormatting sqref="I32">
    <cfRule type="containsText" dxfId="154" priority="155" operator="containsText" text="N/T">
      <formula>NOT(ISERROR(SEARCH("N/T", I32)))</formula>
    </cfRule>
  </conditionalFormatting>
  <conditionalFormatting sqref="I32">
    <cfRule type="containsText" dxfId="155" priority="156" operator="containsText" text="N/A">
      <formula>NOT(ISERROR(SEARCH("N/A", I32)))</formula>
    </cfRule>
  </conditionalFormatting>
  <conditionalFormatting sqref="I38">
    <cfRule type="containsText" dxfId="156" priority="157" operator="containsText" text="N/A">
      <formula>NOT(ISERROR(SEARCH("N/A", I38)))</formula>
    </cfRule>
  </conditionalFormatting>
  <conditionalFormatting sqref="I38">
    <cfRule type="containsText" dxfId="157" priority="158" operator="containsText" text="Block">
      <formula>NOT(ISERROR(SEARCH("Block", I38)))</formula>
    </cfRule>
  </conditionalFormatting>
  <conditionalFormatting sqref="I38">
    <cfRule type="containsText" dxfId="158" priority="159" operator="containsText" text="Fail">
      <formula>NOT(ISERROR(SEARCH("Fail", I38)))</formula>
    </cfRule>
  </conditionalFormatting>
  <conditionalFormatting sqref="I38">
    <cfRule type="containsText" dxfId="159" priority="160" operator="containsText" text="Pass">
      <formula>NOT(ISERROR(SEARCH("Pass", I38)))</formula>
    </cfRule>
  </conditionalFormatting>
  <conditionalFormatting sqref="I38">
    <cfRule type="containsBlanks" dxfId="160" priority="161">
      <formula>LEN(TRIM(I38))=0</formula>
    </cfRule>
  </conditionalFormatting>
  <conditionalFormatting sqref="I38">
    <cfRule type="containsText" dxfId="161" priority="162" operator="containsText" text="N/T">
      <formula>NOT(ISERROR(SEARCH("N/T", I38)))</formula>
    </cfRule>
  </conditionalFormatting>
  <conditionalFormatting sqref="I37">
    <cfRule type="containsBlanks" dxfId="162" priority="163">
      <formula>LEN(TRIM(I37))=0</formula>
    </cfRule>
  </conditionalFormatting>
  <conditionalFormatting sqref="I37">
    <cfRule type="containsText" dxfId="163" priority="164" operator="containsText" text="Pass">
      <formula>NOT(ISERROR(SEARCH("Pass", I37)))</formula>
    </cfRule>
  </conditionalFormatting>
  <conditionalFormatting sqref="I37">
    <cfRule type="containsText" dxfId="164" priority="165" operator="containsText" text="Fail">
      <formula>NOT(ISERROR(SEARCH("Fail", I37)))</formula>
    </cfRule>
  </conditionalFormatting>
  <conditionalFormatting sqref="I37">
    <cfRule type="containsText" dxfId="165" priority="166" operator="containsText" text="Block">
      <formula>NOT(ISERROR(SEARCH("Block", I37)))</formula>
    </cfRule>
  </conditionalFormatting>
  <conditionalFormatting sqref="I37">
    <cfRule type="containsText" dxfId="166" priority="167" operator="containsText" text="N/A">
      <formula>NOT(ISERROR(SEARCH("N/A", I37)))</formula>
    </cfRule>
  </conditionalFormatting>
  <conditionalFormatting sqref="I37">
    <cfRule type="containsText" dxfId="167" priority="168" operator="containsText" text="N/T">
      <formula>NOT(ISERROR(SEARCH("N/T", I37)))</formula>
    </cfRule>
  </conditionalFormatting>
  <conditionalFormatting sqref="I39">
    <cfRule type="containsText" dxfId="168" priority="169" operator="containsText" text="N/A">
      <formula>NOT(ISERROR(SEARCH("N/A", I39)))</formula>
    </cfRule>
  </conditionalFormatting>
  <conditionalFormatting sqref="I39">
    <cfRule type="containsText" dxfId="169" priority="170" operator="containsText" text="N/T">
      <formula>NOT(ISERROR(SEARCH("N/T", I39)))</formula>
    </cfRule>
  </conditionalFormatting>
  <conditionalFormatting sqref="I39">
    <cfRule type="containsBlanks" dxfId="170" priority="171">
      <formula>LEN(TRIM(I39))=0</formula>
    </cfRule>
  </conditionalFormatting>
  <conditionalFormatting sqref="I39">
    <cfRule type="containsText" dxfId="171" priority="172" operator="containsText" text="Pass">
      <formula>NOT(ISERROR(SEARCH("Pass", I39)))</formula>
    </cfRule>
  </conditionalFormatting>
  <conditionalFormatting sqref="I39">
    <cfRule type="containsText" dxfId="172" priority="173" operator="containsText" text="Fail">
      <formula>NOT(ISERROR(SEARCH("Fail", I39)))</formula>
    </cfRule>
  </conditionalFormatting>
  <conditionalFormatting sqref="I39">
    <cfRule type="containsText" dxfId="173" priority="174" operator="containsText" text="Block">
      <formula>NOT(ISERROR(SEARCH("Block", I39)))</formula>
    </cfRule>
  </conditionalFormatting>
  <conditionalFormatting sqref="I40">
    <cfRule type="containsText" dxfId="174" priority="175" operator="containsText" text="N/A">
      <formula>NOT(ISERROR(SEARCH("N/A", I40)))</formula>
    </cfRule>
  </conditionalFormatting>
  <conditionalFormatting sqref="I40">
    <cfRule type="containsText" dxfId="175" priority="176" operator="containsText" text="N/T">
      <formula>NOT(ISERROR(SEARCH("N/T", I40)))</formula>
    </cfRule>
  </conditionalFormatting>
  <conditionalFormatting sqref="I40">
    <cfRule type="containsBlanks" dxfId="176" priority="177">
      <formula>LEN(TRIM(I40))=0</formula>
    </cfRule>
  </conditionalFormatting>
  <conditionalFormatting sqref="I40">
    <cfRule type="containsText" dxfId="177" priority="178" operator="containsText" text="Pass">
      <formula>NOT(ISERROR(SEARCH("Pass", I40)))</formula>
    </cfRule>
  </conditionalFormatting>
  <conditionalFormatting sqref="I40">
    <cfRule type="containsText" dxfId="178" priority="179" operator="containsText" text="Fail">
      <formula>NOT(ISERROR(SEARCH("Fail", I40)))</formula>
    </cfRule>
  </conditionalFormatting>
  <conditionalFormatting sqref="I40">
    <cfRule type="containsText" dxfId="179" priority="180" operator="containsText" text="Block">
      <formula>NOT(ISERROR(SEARCH("Block", I40)))</formula>
    </cfRule>
  </conditionalFormatting>
  <conditionalFormatting sqref="I41">
    <cfRule type="containsText" dxfId="180" priority="181" operator="containsText" text="N/A">
      <formula>NOT(ISERROR(SEARCH("N/A", I41)))</formula>
    </cfRule>
  </conditionalFormatting>
  <conditionalFormatting sqref="I41">
    <cfRule type="containsText" dxfId="181" priority="182" operator="containsText" text="N/T">
      <formula>NOT(ISERROR(SEARCH("N/T", I41)))</formula>
    </cfRule>
  </conditionalFormatting>
  <conditionalFormatting sqref="I41">
    <cfRule type="containsBlanks" dxfId="182" priority="183">
      <formula>LEN(TRIM(I41))=0</formula>
    </cfRule>
  </conditionalFormatting>
  <conditionalFormatting sqref="I41">
    <cfRule type="containsText" dxfId="183" priority="184" operator="containsText" text="Pass">
      <formula>NOT(ISERROR(SEARCH("Pass", I41)))</formula>
    </cfRule>
  </conditionalFormatting>
  <conditionalFormatting sqref="I41">
    <cfRule type="containsText" dxfId="184" priority="185" operator="containsText" text="Fail">
      <formula>NOT(ISERROR(SEARCH("Fail", I41)))</formula>
    </cfRule>
  </conditionalFormatting>
  <conditionalFormatting sqref="I41">
    <cfRule type="containsText" dxfId="185" priority="186" operator="containsText" text="Block">
      <formula>NOT(ISERROR(SEARCH("Block", I41)))</formula>
    </cfRule>
  </conditionalFormatting>
  <conditionalFormatting sqref="I42">
    <cfRule type="containsText" dxfId="186" priority="187" operator="containsText" text="N/A">
      <formula>NOT(ISERROR(SEARCH("N/A", I42)))</formula>
    </cfRule>
  </conditionalFormatting>
  <conditionalFormatting sqref="I42">
    <cfRule type="containsText" dxfId="187" priority="188" operator="containsText" text="N/T">
      <formula>NOT(ISERROR(SEARCH("N/T", I42)))</formula>
    </cfRule>
  </conditionalFormatting>
  <conditionalFormatting sqref="I42">
    <cfRule type="containsBlanks" dxfId="188" priority="189">
      <formula>LEN(TRIM(I42))=0</formula>
    </cfRule>
  </conditionalFormatting>
  <conditionalFormatting sqref="I42">
    <cfRule type="containsText" dxfId="189" priority="190" operator="containsText" text="Pass">
      <formula>NOT(ISERROR(SEARCH("Pass", I42)))</formula>
    </cfRule>
  </conditionalFormatting>
  <conditionalFormatting sqref="I42">
    <cfRule type="containsText" dxfId="190" priority="191" operator="containsText" text="Fail">
      <formula>NOT(ISERROR(SEARCH("Fail", I42)))</formula>
    </cfRule>
  </conditionalFormatting>
  <conditionalFormatting sqref="I42">
    <cfRule type="containsText" dxfId="191" priority="192" operator="containsText" text="Block">
      <formula>NOT(ISERROR(SEARCH("Block", I42)))</formula>
    </cfRule>
  </conditionalFormatting>
  <conditionalFormatting sqref="I31">
    <cfRule type="containsText" dxfId="192" priority="193" operator="containsText" text="N/T">
      <formula>NOT(ISERROR(SEARCH("N/T", I31)))</formula>
    </cfRule>
  </conditionalFormatting>
  <conditionalFormatting sqref="I31">
    <cfRule type="containsBlanks" dxfId="193" priority="194">
      <formula>LEN(TRIM(I31))=0</formula>
    </cfRule>
  </conditionalFormatting>
  <conditionalFormatting sqref="I31">
    <cfRule type="containsText" dxfId="194" priority="195" operator="containsText" text="Pass">
      <formula>NOT(ISERROR(SEARCH("Pass", I31)))</formula>
    </cfRule>
  </conditionalFormatting>
  <conditionalFormatting sqref="I31">
    <cfRule type="containsText" dxfId="195" priority="196" operator="containsText" text="Fail">
      <formula>NOT(ISERROR(SEARCH("Fail", I31)))</formula>
    </cfRule>
  </conditionalFormatting>
  <conditionalFormatting sqref="I31">
    <cfRule type="containsText" dxfId="196" priority="197" operator="containsText" text="Block">
      <formula>NOT(ISERROR(SEARCH("Block", I31)))</formula>
    </cfRule>
  </conditionalFormatting>
  <conditionalFormatting sqref="I31">
    <cfRule type="containsText" dxfId="197" priority="198" operator="containsText" text="N/A">
      <formula>NOT(ISERROR(SEARCH("N/A", I31)))</formula>
    </cfRule>
  </conditionalFormatting>
  <conditionalFormatting sqref="I30">
    <cfRule type="containsText" dxfId="198" priority="199" operator="containsText" text="Block">
      <formula>NOT(ISERROR(SEARCH("Block", I30)))</formula>
    </cfRule>
  </conditionalFormatting>
  <conditionalFormatting sqref="I30">
    <cfRule type="containsText" dxfId="199" priority="200" operator="containsText" text="Fail">
      <formula>NOT(ISERROR(SEARCH("Fail", I30)))</formula>
    </cfRule>
  </conditionalFormatting>
  <conditionalFormatting sqref="I30">
    <cfRule type="containsText" dxfId="200" priority="201" operator="containsText" text="Pass">
      <formula>NOT(ISERROR(SEARCH("Pass", I30)))</formula>
    </cfRule>
  </conditionalFormatting>
  <conditionalFormatting sqref="I30">
    <cfRule type="containsBlanks" dxfId="201" priority="202">
      <formula>LEN(TRIM(I30))=0</formula>
    </cfRule>
  </conditionalFormatting>
  <conditionalFormatting sqref="I30">
    <cfRule type="containsText" dxfId="202" priority="203" operator="containsText" text="N/T">
      <formula>NOT(ISERROR(SEARCH("N/T", I30)))</formula>
    </cfRule>
  </conditionalFormatting>
  <conditionalFormatting sqref="I30">
    <cfRule type="containsText" dxfId="203" priority="204" operator="containsText" text="N/A">
      <formula>NOT(ISERROR(SEARCH("N/A", I30)))</formula>
    </cfRule>
  </conditionalFormatting>
  <conditionalFormatting sqref="I29">
    <cfRule type="containsText" dxfId="204" priority="205" operator="containsText" text="N/T">
      <formula>NOT(ISERROR(SEARCH("N/T", I29)))</formula>
    </cfRule>
  </conditionalFormatting>
  <conditionalFormatting sqref="I29">
    <cfRule type="containsBlanks" dxfId="205" priority="206">
      <formula>LEN(TRIM(I29))=0</formula>
    </cfRule>
  </conditionalFormatting>
  <conditionalFormatting sqref="I29">
    <cfRule type="containsText" dxfId="206" priority="207" operator="containsText" text="Pass">
      <formula>NOT(ISERROR(SEARCH("Pass", I29)))</formula>
    </cfRule>
  </conditionalFormatting>
  <conditionalFormatting sqref="I29">
    <cfRule type="containsText" dxfId="207" priority="208" operator="containsText" text="Fail">
      <formula>NOT(ISERROR(SEARCH("Fail", I29)))</formula>
    </cfRule>
  </conditionalFormatting>
  <conditionalFormatting sqref="I29">
    <cfRule type="containsText" dxfId="208" priority="209" operator="containsText" text="Block">
      <formula>NOT(ISERROR(SEARCH("Block", I29)))</formula>
    </cfRule>
  </conditionalFormatting>
  <conditionalFormatting sqref="I29">
    <cfRule type="containsText" dxfId="209" priority="210" operator="containsText" text="N/A">
      <formula>NOT(ISERROR(SEARCH("N/A", I29)))</formula>
    </cfRule>
  </conditionalFormatting>
  <conditionalFormatting sqref="I28">
    <cfRule type="containsText" dxfId="210" priority="211" operator="containsText" text="Block">
      <formula>NOT(ISERROR(SEARCH("Block", I28)))</formula>
    </cfRule>
  </conditionalFormatting>
  <conditionalFormatting sqref="I28">
    <cfRule type="containsText" dxfId="211" priority="212" operator="containsText" text="Fail">
      <formula>NOT(ISERROR(SEARCH("Fail", I28)))</formula>
    </cfRule>
  </conditionalFormatting>
  <conditionalFormatting sqref="I28">
    <cfRule type="containsText" dxfId="212" priority="213" operator="containsText" text="Pass">
      <formula>NOT(ISERROR(SEARCH("Pass", I28)))</formula>
    </cfRule>
  </conditionalFormatting>
  <conditionalFormatting sqref="I28">
    <cfRule type="containsBlanks" dxfId="213" priority="214">
      <formula>LEN(TRIM(I28))=0</formula>
    </cfRule>
  </conditionalFormatting>
  <conditionalFormatting sqref="I28">
    <cfRule type="containsText" dxfId="214" priority="215" operator="containsText" text="N/T">
      <formula>NOT(ISERROR(SEARCH("N/T", I28)))</formula>
    </cfRule>
  </conditionalFormatting>
  <conditionalFormatting sqref="I28">
    <cfRule type="containsText" dxfId="215" priority="216" operator="containsText" text="N/A">
      <formula>NOT(ISERROR(SEARCH("N/A", I28)))</formula>
    </cfRule>
  </conditionalFormatting>
  <conditionalFormatting sqref="I27">
    <cfRule type="containsText" dxfId="216" priority="217" operator="containsText" text="N/T">
      <formula>NOT(ISERROR(SEARCH("N/T", I27)))</formula>
    </cfRule>
  </conditionalFormatting>
  <conditionalFormatting sqref="I27">
    <cfRule type="containsBlanks" dxfId="217" priority="218">
      <formula>LEN(TRIM(I27))=0</formula>
    </cfRule>
  </conditionalFormatting>
  <conditionalFormatting sqref="I27">
    <cfRule type="containsText" dxfId="218" priority="219" operator="containsText" text="Pass">
      <formula>NOT(ISERROR(SEARCH("Pass", I27)))</formula>
    </cfRule>
  </conditionalFormatting>
  <conditionalFormatting sqref="I27">
    <cfRule type="containsText" dxfId="219" priority="220" operator="containsText" text="Fail">
      <formula>NOT(ISERROR(SEARCH("Fail", I27)))</formula>
    </cfRule>
  </conditionalFormatting>
  <conditionalFormatting sqref="I27">
    <cfRule type="containsText" dxfId="220" priority="221" operator="containsText" text="Block">
      <formula>NOT(ISERROR(SEARCH("Block", I27)))</formula>
    </cfRule>
  </conditionalFormatting>
  <conditionalFormatting sqref="I27">
    <cfRule type="containsText" dxfId="221" priority="222" operator="containsText" text="N/A">
      <formula>NOT(ISERROR(SEARCH("N/A", I27)))</formula>
    </cfRule>
  </conditionalFormatting>
  <conditionalFormatting sqref="I26">
    <cfRule type="containsText" dxfId="222" priority="223" operator="containsText" text="N/T">
      <formula>NOT(ISERROR(SEARCH("N/T", I26)))</formula>
    </cfRule>
  </conditionalFormatting>
  <conditionalFormatting sqref="I26">
    <cfRule type="containsBlanks" dxfId="223" priority="224">
      <formula>LEN(TRIM(I26))=0</formula>
    </cfRule>
  </conditionalFormatting>
  <conditionalFormatting sqref="I26">
    <cfRule type="containsText" dxfId="224" priority="225" operator="containsText" text="Pass">
      <formula>NOT(ISERROR(SEARCH("Pass", I26)))</formula>
    </cfRule>
  </conditionalFormatting>
  <conditionalFormatting sqref="I26">
    <cfRule type="containsText" dxfId="225" priority="226" operator="containsText" text="Fail">
      <formula>NOT(ISERROR(SEARCH("Fail", I26)))</formula>
    </cfRule>
  </conditionalFormatting>
  <conditionalFormatting sqref="I26">
    <cfRule type="containsText" dxfId="226" priority="227" operator="containsText" text="Block">
      <formula>NOT(ISERROR(SEARCH("Block", I26)))</formula>
    </cfRule>
  </conditionalFormatting>
  <conditionalFormatting sqref="I26">
    <cfRule type="containsText" dxfId="227" priority="228" operator="containsText" text="N/A">
      <formula>NOT(ISERROR(SEARCH("N/A", I26)))</formula>
    </cfRule>
  </conditionalFormatting>
  <conditionalFormatting sqref="I24">
    <cfRule type="containsText" dxfId="228" priority="229" operator="containsText" text="Block">
      <formula>NOT(ISERROR(SEARCH("Block", I24)))</formula>
    </cfRule>
  </conditionalFormatting>
  <conditionalFormatting sqref="I24">
    <cfRule type="containsText" dxfId="229" priority="230" operator="containsText" text="Fail">
      <formula>NOT(ISERROR(SEARCH("Fail", I24)))</formula>
    </cfRule>
  </conditionalFormatting>
  <conditionalFormatting sqref="I24">
    <cfRule type="containsText" dxfId="230" priority="231" operator="containsText" text="Pass">
      <formula>NOT(ISERROR(SEARCH("Pass", I24)))</formula>
    </cfRule>
  </conditionalFormatting>
  <conditionalFormatting sqref="I24">
    <cfRule type="containsBlanks" dxfId="231" priority="232">
      <formula>LEN(TRIM(I24))=0</formula>
    </cfRule>
  </conditionalFormatting>
  <conditionalFormatting sqref="I24">
    <cfRule type="containsText" dxfId="232" priority="233" operator="containsText" text="N/T">
      <formula>NOT(ISERROR(SEARCH("N/T", I24)))</formula>
    </cfRule>
  </conditionalFormatting>
  <conditionalFormatting sqref="I24">
    <cfRule type="containsText" dxfId="233" priority="234" operator="containsText" text="N/A">
      <formula>NOT(ISERROR(SEARCH("N/A", I24)))</formula>
    </cfRule>
  </conditionalFormatting>
  <conditionalFormatting sqref="I23">
    <cfRule type="containsText" dxfId="234" priority="235" operator="containsText" text="Block">
      <formula>NOT(ISERROR(SEARCH("Block", I23)))</formula>
    </cfRule>
  </conditionalFormatting>
  <conditionalFormatting sqref="I23">
    <cfRule type="containsText" dxfId="235" priority="236" operator="containsText" text="Fail">
      <formula>NOT(ISERROR(SEARCH("Fail", I23)))</formula>
    </cfRule>
  </conditionalFormatting>
  <conditionalFormatting sqref="I23">
    <cfRule type="containsText" dxfId="236" priority="237" operator="containsText" text="Pass">
      <formula>NOT(ISERROR(SEARCH("Pass", I23)))</formula>
    </cfRule>
  </conditionalFormatting>
  <conditionalFormatting sqref="I23">
    <cfRule type="containsBlanks" dxfId="237" priority="238">
      <formula>LEN(TRIM(I23))=0</formula>
    </cfRule>
  </conditionalFormatting>
  <conditionalFormatting sqref="I23">
    <cfRule type="containsText" dxfId="238" priority="239" operator="containsText" text="N/T">
      <formula>NOT(ISERROR(SEARCH("N/T", I23)))</formula>
    </cfRule>
  </conditionalFormatting>
  <conditionalFormatting sqref="I23">
    <cfRule type="containsText" dxfId="239" priority="240" operator="containsText" text="N/A">
      <formula>NOT(ISERROR(SEARCH("N/A", I23)))</formula>
    </cfRule>
  </conditionalFormatting>
  <conditionalFormatting sqref="I22">
    <cfRule type="containsText" dxfId="240" priority="241" operator="containsText" text="Block">
      <formula>NOT(ISERROR(SEARCH("Block", I22)))</formula>
    </cfRule>
  </conditionalFormatting>
  <conditionalFormatting sqref="I22">
    <cfRule type="containsText" dxfId="241" priority="242" operator="containsText" text="Fail">
      <formula>NOT(ISERROR(SEARCH("Fail", I22)))</formula>
    </cfRule>
  </conditionalFormatting>
  <conditionalFormatting sqref="I22">
    <cfRule type="containsText" dxfId="242" priority="243" operator="containsText" text="Pass">
      <formula>NOT(ISERROR(SEARCH("Pass", I22)))</formula>
    </cfRule>
  </conditionalFormatting>
  <conditionalFormatting sqref="I22">
    <cfRule type="containsBlanks" dxfId="243" priority="244">
      <formula>LEN(TRIM(I22))=0</formula>
    </cfRule>
  </conditionalFormatting>
  <conditionalFormatting sqref="I22">
    <cfRule type="containsText" dxfId="244" priority="245" operator="containsText" text="N/T">
      <formula>NOT(ISERROR(SEARCH("N/T", I22)))</formula>
    </cfRule>
  </conditionalFormatting>
  <conditionalFormatting sqref="I22">
    <cfRule type="containsText" dxfId="245" priority="246" operator="containsText" text="N/A">
      <formula>NOT(ISERROR(SEARCH("N/A", I22)))</formula>
    </cfRule>
  </conditionalFormatting>
  <conditionalFormatting sqref="I21">
    <cfRule type="containsText" dxfId="246" priority="247" operator="containsText" text="Block">
      <formula>NOT(ISERROR(SEARCH("Block", I21)))</formula>
    </cfRule>
  </conditionalFormatting>
  <conditionalFormatting sqref="I21">
    <cfRule type="containsText" dxfId="247" priority="248" operator="containsText" text="Fail">
      <formula>NOT(ISERROR(SEARCH("Fail", I21)))</formula>
    </cfRule>
  </conditionalFormatting>
  <conditionalFormatting sqref="I21">
    <cfRule type="containsText" dxfId="248" priority="249" operator="containsText" text="Pass">
      <formula>NOT(ISERROR(SEARCH("Pass", I21)))</formula>
    </cfRule>
  </conditionalFormatting>
  <conditionalFormatting sqref="I21">
    <cfRule type="containsBlanks" dxfId="249" priority="250">
      <formula>LEN(TRIM(I21))=0</formula>
    </cfRule>
  </conditionalFormatting>
  <conditionalFormatting sqref="I21">
    <cfRule type="containsText" dxfId="250" priority="251" operator="containsText" text="N/T">
      <formula>NOT(ISERROR(SEARCH("N/T", I21)))</formula>
    </cfRule>
  </conditionalFormatting>
  <conditionalFormatting sqref="I21">
    <cfRule type="containsText" dxfId="251" priority="252" operator="containsText" text="N/A">
      <formula>NOT(ISERROR(SEARCH("N/A", I21)))</formula>
    </cfRule>
  </conditionalFormatting>
  <conditionalFormatting sqref="I25">
    <cfRule type="containsText" dxfId="252" priority="253" operator="containsText" text="Block">
      <formula>NOT(ISERROR(SEARCH("Block", I25)))</formula>
    </cfRule>
  </conditionalFormatting>
  <conditionalFormatting sqref="I25">
    <cfRule type="containsText" dxfId="253" priority="254" operator="containsText" text="Fail">
      <formula>NOT(ISERROR(SEARCH("Fail", I25)))</formula>
    </cfRule>
  </conditionalFormatting>
  <conditionalFormatting sqref="I25">
    <cfRule type="containsText" dxfId="254" priority="255" operator="containsText" text="Pass">
      <formula>NOT(ISERROR(SEARCH("Pass", I25)))</formula>
    </cfRule>
  </conditionalFormatting>
  <conditionalFormatting sqref="I25">
    <cfRule type="containsBlanks" dxfId="255" priority="256">
      <formula>LEN(TRIM(I25))=0</formula>
    </cfRule>
  </conditionalFormatting>
  <conditionalFormatting sqref="I25">
    <cfRule type="containsText" dxfId="256" priority="257" operator="containsText" text="N/T">
      <formula>NOT(ISERROR(SEARCH("N/T", I25)))</formula>
    </cfRule>
  </conditionalFormatting>
  <conditionalFormatting sqref="I25">
    <cfRule type="containsText" dxfId="257" priority="258" operator="containsText" text="N/A">
      <formula>NOT(ISERROR(SEARCH("N/A", I25)))</formula>
    </cfRule>
  </conditionalFormatting>
  <conditionalFormatting sqref="I19">
    <cfRule type="containsText" dxfId="258" priority="259" operator="containsText" text="N/T">
      <formula>NOT(ISERROR(SEARCH("N/T", I19)))</formula>
    </cfRule>
  </conditionalFormatting>
  <conditionalFormatting sqref="I19">
    <cfRule type="containsText" dxfId="259" priority="260" operator="containsText" text="N/A">
      <formula>NOT(ISERROR(SEARCH("N/A", I19)))</formula>
    </cfRule>
  </conditionalFormatting>
  <conditionalFormatting sqref="I19">
    <cfRule type="containsText" dxfId="260" priority="261" operator="containsText" text="Block">
      <formula>NOT(ISERROR(SEARCH("Block", I19)))</formula>
    </cfRule>
  </conditionalFormatting>
  <conditionalFormatting sqref="I19">
    <cfRule type="containsText" dxfId="261" priority="262" operator="containsText" text="Fail">
      <formula>NOT(ISERROR(SEARCH("Fail", I19)))</formula>
    </cfRule>
  </conditionalFormatting>
  <conditionalFormatting sqref="I19">
    <cfRule type="containsText" dxfId="262" priority="263" operator="containsText" text="Pass">
      <formula>NOT(ISERROR(SEARCH("Pass", I19)))</formula>
    </cfRule>
  </conditionalFormatting>
  <conditionalFormatting sqref="I19">
    <cfRule type="containsBlanks" dxfId="263" priority="264">
      <formula>LEN(TRIM(I19))=0</formula>
    </cfRule>
  </conditionalFormatting>
  <conditionalFormatting sqref="I20">
    <cfRule type="containsText" dxfId="264" priority="265" operator="containsText" text="N/T">
      <formula>NOT(ISERROR(SEARCH("N/T", I20)))</formula>
    </cfRule>
  </conditionalFormatting>
  <conditionalFormatting sqref="I20">
    <cfRule type="containsBlanks" dxfId="265" priority="266">
      <formula>LEN(TRIM(I20))=0</formula>
    </cfRule>
  </conditionalFormatting>
  <conditionalFormatting sqref="I20">
    <cfRule type="containsText" dxfId="266" priority="267" operator="containsText" text="Pass">
      <formula>NOT(ISERROR(SEARCH("Pass", I20)))</formula>
    </cfRule>
  </conditionalFormatting>
  <conditionalFormatting sqref="I20">
    <cfRule type="containsText" dxfId="267" priority="268" operator="containsText" text="Fail">
      <formula>NOT(ISERROR(SEARCH("Fail", I20)))</formula>
    </cfRule>
  </conditionalFormatting>
  <conditionalFormatting sqref="I20">
    <cfRule type="containsText" dxfId="268" priority="269" operator="containsText" text="Block">
      <formula>NOT(ISERROR(SEARCH("Block", I20)))</formula>
    </cfRule>
  </conditionalFormatting>
  <conditionalFormatting sqref="I20">
    <cfRule type="containsText" dxfId="269" priority="270" operator="containsText" text="N/A">
      <formula>NOT(ISERROR(SEARCH("N/A", I20)))</formula>
    </cfRule>
  </conditionalFormatting>
  <conditionalFormatting sqref="I17">
    <cfRule type="containsText" dxfId="270" priority="271" operator="containsText" text="N/T">
      <formula>NOT(ISERROR(SEARCH("N/T", I17)))</formula>
    </cfRule>
  </conditionalFormatting>
  <conditionalFormatting sqref="I17">
    <cfRule type="containsText" dxfId="271" priority="272" operator="containsText" text="N/A">
      <formula>NOT(ISERROR(SEARCH("N/A", I17)))</formula>
    </cfRule>
  </conditionalFormatting>
  <conditionalFormatting sqref="I17">
    <cfRule type="containsText" dxfId="272" priority="273" operator="containsText" text="Block">
      <formula>NOT(ISERROR(SEARCH("Block", I17)))</formula>
    </cfRule>
  </conditionalFormatting>
  <conditionalFormatting sqref="I17">
    <cfRule type="containsText" dxfId="273" priority="274" operator="containsText" text="Fail">
      <formula>NOT(ISERROR(SEARCH("Fail", I17)))</formula>
    </cfRule>
  </conditionalFormatting>
  <conditionalFormatting sqref="I17">
    <cfRule type="containsText" dxfId="274" priority="275" operator="containsText" text="Pass">
      <formula>NOT(ISERROR(SEARCH("Pass", I17)))</formula>
    </cfRule>
  </conditionalFormatting>
  <conditionalFormatting sqref="I17">
    <cfRule type="containsBlanks" dxfId="275" priority="276">
      <formula>LEN(TRIM(I17))=0</formula>
    </cfRule>
  </conditionalFormatting>
  <conditionalFormatting sqref="I18">
    <cfRule type="containsText" dxfId="276" priority="277" operator="containsText" text="N/T">
      <formula>NOT(ISERROR(SEARCH("N/T", I18)))</formula>
    </cfRule>
  </conditionalFormatting>
  <conditionalFormatting sqref="I18">
    <cfRule type="containsBlanks" dxfId="277" priority="278">
      <formula>LEN(TRIM(I18))=0</formula>
    </cfRule>
  </conditionalFormatting>
  <conditionalFormatting sqref="I18">
    <cfRule type="containsText" dxfId="278" priority="279" operator="containsText" text="Pass">
      <formula>NOT(ISERROR(SEARCH("Pass", I18)))</formula>
    </cfRule>
  </conditionalFormatting>
  <conditionalFormatting sqref="I18">
    <cfRule type="containsText" dxfId="279" priority="280" operator="containsText" text="Fail">
      <formula>NOT(ISERROR(SEARCH("Fail", I18)))</formula>
    </cfRule>
  </conditionalFormatting>
  <conditionalFormatting sqref="I18">
    <cfRule type="containsText" dxfId="280" priority="281" operator="containsText" text="Block">
      <formula>NOT(ISERROR(SEARCH("Block", I18)))</formula>
    </cfRule>
  </conditionalFormatting>
  <conditionalFormatting sqref="I18">
    <cfRule type="containsText" dxfId="281" priority="282" operator="containsText" text="N/A">
      <formula>NOT(ISERROR(SEARCH("N/A", I18)))</formula>
    </cfRule>
  </conditionalFormatting>
  <conditionalFormatting sqref="I16">
    <cfRule type="containsText" dxfId="282" priority="283" operator="containsText" text="N/A">
      <formula>NOT(ISERROR(SEARCH("N/A", I16)))</formula>
    </cfRule>
  </conditionalFormatting>
  <conditionalFormatting sqref="I16">
    <cfRule type="containsText" dxfId="283" priority="284" operator="containsText" text="Block">
      <formula>NOT(ISERROR(SEARCH("Block", I16)))</formula>
    </cfRule>
  </conditionalFormatting>
  <conditionalFormatting sqref="I16">
    <cfRule type="containsText" dxfId="284" priority="285" operator="containsText" text="Fail">
      <formula>NOT(ISERROR(SEARCH("Fail", I16)))</formula>
    </cfRule>
  </conditionalFormatting>
  <conditionalFormatting sqref="I16">
    <cfRule type="containsText" dxfId="285" priority="286" operator="containsText" text="Pass">
      <formula>NOT(ISERROR(SEARCH("Pass", I16)))</formula>
    </cfRule>
  </conditionalFormatting>
  <conditionalFormatting sqref="I16">
    <cfRule type="containsBlanks" dxfId="286" priority="287">
      <formula>LEN(TRIM(I16))=0</formula>
    </cfRule>
  </conditionalFormatting>
  <conditionalFormatting sqref="I16">
    <cfRule type="containsText" dxfId="287" priority="288" operator="containsText" text="N/T">
      <formula>NOT(ISERROR(SEARCH("N/T", I16)))</formula>
    </cfRule>
  </conditionalFormatting>
  <conditionalFormatting sqref="I15">
    <cfRule type="containsBlanks" dxfId="288" priority="289">
      <formula>LEN(TRIM(I15))=0</formula>
    </cfRule>
  </conditionalFormatting>
  <conditionalFormatting sqref="I15">
    <cfRule type="containsText" dxfId="289" priority="290" operator="containsText" text="Pass">
      <formula>NOT(ISERROR(SEARCH("Pass", I15)))</formula>
    </cfRule>
  </conditionalFormatting>
  <conditionalFormatting sqref="I15">
    <cfRule type="containsText" dxfId="290" priority="291" operator="containsText" text="Fail">
      <formula>NOT(ISERROR(SEARCH("Fail", I15)))</formula>
    </cfRule>
  </conditionalFormatting>
  <conditionalFormatting sqref="I15">
    <cfRule type="containsText" dxfId="291" priority="292" operator="containsText" text="Block">
      <formula>NOT(ISERROR(SEARCH("Block", I15)))</formula>
    </cfRule>
  </conditionalFormatting>
  <conditionalFormatting sqref="I15">
    <cfRule type="containsText" dxfId="292" priority="293" operator="containsText" text="N/A">
      <formula>NOT(ISERROR(SEARCH("N/A", I15)))</formula>
    </cfRule>
  </conditionalFormatting>
  <conditionalFormatting sqref="I15">
    <cfRule type="containsText" dxfId="293" priority="294" operator="containsText" text="N/T">
      <formula>NOT(ISERROR(SEARCH("N/T", I15)))</formula>
    </cfRule>
  </conditionalFormatting>
  <conditionalFormatting sqref="I14">
    <cfRule type="containsText" dxfId="294" priority="295" operator="containsText" text="N/A">
      <formula>NOT(ISERROR(SEARCH("N/A", I14)))</formula>
    </cfRule>
  </conditionalFormatting>
  <conditionalFormatting sqref="I14">
    <cfRule type="containsText" dxfId="295" priority="296" operator="containsText" text="Block">
      <formula>NOT(ISERROR(SEARCH("Block", I14)))</formula>
    </cfRule>
  </conditionalFormatting>
  <conditionalFormatting sqref="I14">
    <cfRule type="containsText" dxfId="296" priority="297" operator="containsText" text="Fail">
      <formula>NOT(ISERROR(SEARCH("Fail", I14)))</formula>
    </cfRule>
  </conditionalFormatting>
  <conditionalFormatting sqref="I14">
    <cfRule type="containsText" dxfId="297" priority="298" operator="containsText" text="Pass">
      <formula>NOT(ISERROR(SEARCH("Pass", I14)))</formula>
    </cfRule>
  </conditionalFormatting>
  <conditionalFormatting sqref="I14">
    <cfRule type="containsBlanks" dxfId="298" priority="299">
      <formula>LEN(TRIM(I14))=0</formula>
    </cfRule>
  </conditionalFormatting>
  <conditionalFormatting sqref="I14">
    <cfRule type="containsText" dxfId="299" priority="300" operator="containsText" text="N/T">
      <formula>NOT(ISERROR(SEARCH("N/T", I14)))</formula>
    </cfRule>
  </conditionalFormatting>
  <conditionalFormatting sqref="I2:I7">
    <cfRule type="containsText" dxfId="300" priority="301" operator="containsText" text="N/A">
      <formula>NOT(ISERROR(SEARCH("N/A", I2)))</formula>
    </cfRule>
  </conditionalFormatting>
  <conditionalFormatting sqref="I2:I7">
    <cfRule type="containsText" dxfId="301" priority="302" operator="containsText" text="Block">
      <formula>NOT(ISERROR(SEARCH("Block", I2)))</formula>
    </cfRule>
  </conditionalFormatting>
  <conditionalFormatting sqref="I2:I7">
    <cfRule type="containsText" dxfId="302" priority="303" operator="containsText" text="Fail">
      <formula>NOT(ISERROR(SEARCH("Fail", I2)))</formula>
    </cfRule>
  </conditionalFormatting>
  <conditionalFormatting sqref="I2:I7">
    <cfRule type="containsText" dxfId="303" priority="304" operator="containsText" text="Pass">
      <formula>NOT(ISERROR(SEARCH("Pass", I2)))</formula>
    </cfRule>
  </conditionalFormatting>
  <conditionalFormatting sqref="I2:I7">
    <cfRule type="containsBlanks" dxfId="304" priority="305">
      <formula>LEN(TRIM(I2))=0</formula>
    </cfRule>
  </conditionalFormatting>
  <conditionalFormatting sqref="I2:I7">
    <cfRule type="containsText" dxfId="305" priority="306" operator="containsText" text="N/T">
      <formula>NOT(ISERROR(SEARCH("N/T", I2)))</formula>
    </cfRule>
  </conditionalFormatting>
  <conditionalFormatting sqref="Q39">
    <cfRule type="containsText" dxfId="306" priority="307" operator="containsText" text="N/A">
      <formula>NOT(ISERROR(SEARCH("N/A", Q39)))</formula>
    </cfRule>
  </conditionalFormatting>
  <conditionalFormatting sqref="Q39">
    <cfRule type="containsText" dxfId="307" priority="308" operator="containsText" text="Block">
      <formula>NOT(ISERROR(SEARCH("Block", Q39)))</formula>
    </cfRule>
  </conditionalFormatting>
  <conditionalFormatting sqref="Q39">
    <cfRule type="containsText" dxfId="308" priority="309" operator="containsText" text="Fail">
      <formula>NOT(ISERROR(SEARCH("Fail", Q39)))</formula>
    </cfRule>
  </conditionalFormatting>
  <conditionalFormatting sqref="Q39">
    <cfRule type="containsText" dxfId="309" priority="310" operator="containsText" text="Pass">
      <formula>NOT(ISERROR(SEARCH("Pass", Q39)))</formula>
    </cfRule>
  </conditionalFormatting>
  <conditionalFormatting sqref="Q39">
    <cfRule type="containsBlanks" dxfId="310" priority="311">
      <formula>LEN(TRIM(Q39))=0</formula>
    </cfRule>
  </conditionalFormatting>
  <conditionalFormatting sqref="Q39">
    <cfRule type="containsText" dxfId="311" priority="312" operator="containsText" text="N/T">
      <formula>NOT(ISERROR(SEARCH("N/T", Q39)))</formula>
    </cfRule>
  </conditionalFormatting>
  <conditionalFormatting sqref="Q41:Q44">
    <cfRule type="containsText" dxfId="312" priority="313" operator="containsText" text="N/T">
      <formula>NOT(ISERROR(SEARCH("N/T", Q41)))</formula>
    </cfRule>
  </conditionalFormatting>
  <conditionalFormatting sqref="Q41:Q44">
    <cfRule type="containsText" dxfId="313" priority="314" operator="containsText" text="N/A">
      <formula>NOT(ISERROR(SEARCH("N/A", Q41)))</formula>
    </cfRule>
  </conditionalFormatting>
  <conditionalFormatting sqref="Q41:Q44">
    <cfRule type="containsText" dxfId="314" priority="315" operator="containsText" text="Block">
      <formula>NOT(ISERROR(SEARCH("Block", Q41)))</formula>
    </cfRule>
  </conditionalFormatting>
  <conditionalFormatting sqref="Q41:Q44">
    <cfRule type="containsText" dxfId="315" priority="316" operator="containsText" text="Fail">
      <formula>NOT(ISERROR(SEARCH("Fail", Q41)))</formula>
    </cfRule>
  </conditionalFormatting>
  <conditionalFormatting sqref="Q41:Q44">
    <cfRule type="containsText" dxfId="316" priority="317" operator="containsText" text="Pass">
      <formula>NOT(ISERROR(SEARCH("Pass", Q41)))</formula>
    </cfRule>
  </conditionalFormatting>
  <conditionalFormatting sqref="Q41:Q44">
    <cfRule type="containsBlanks" dxfId="317" priority="318">
      <formula>LEN(TRIM(Q41))=0</formula>
    </cfRule>
  </conditionalFormatting>
  <conditionalFormatting sqref="Q40">
    <cfRule type="containsText" dxfId="318" priority="319" operator="containsText" text="N/T">
      <formula>NOT(ISERROR(SEARCH("N/T", Q40)))</formula>
    </cfRule>
  </conditionalFormatting>
  <conditionalFormatting sqref="Q40">
    <cfRule type="containsBlanks" dxfId="319" priority="320">
      <formula>LEN(TRIM(Q40))=0</formula>
    </cfRule>
  </conditionalFormatting>
  <conditionalFormatting sqref="Q40">
    <cfRule type="containsText" dxfId="320" priority="321" operator="containsText" text="Pass">
      <formula>NOT(ISERROR(SEARCH("Pass", Q40)))</formula>
    </cfRule>
  </conditionalFormatting>
  <conditionalFormatting sqref="Q40">
    <cfRule type="containsText" dxfId="321" priority="322" operator="containsText" text="Fail">
      <formula>NOT(ISERROR(SEARCH("Fail", Q40)))</formula>
    </cfRule>
  </conditionalFormatting>
  <conditionalFormatting sqref="Q40">
    <cfRule type="containsText" dxfId="322" priority="323" operator="containsText" text="Block">
      <formula>NOT(ISERROR(SEARCH("Block", Q40)))</formula>
    </cfRule>
  </conditionalFormatting>
  <conditionalFormatting sqref="Q40">
    <cfRule type="containsText" dxfId="323" priority="324" operator="containsText" text="N/A">
      <formula>NOT(ISERROR(SEARCH("N/A", Q40)))</formula>
    </cfRule>
  </conditionalFormatting>
  <conditionalFormatting sqref="A1:G1">
    <cfRule type="containsBlanks" dxfId="324" priority="325">
      <formula>LEN(TRIM(A1))=0</formula>
    </cfRule>
  </conditionalFormatting>
  <conditionalFormatting sqref="I1 I8:I13">
    <cfRule type="containsBlanks" dxfId="325" priority="326">
      <formula>LEN(TRIM(I1))=0</formula>
    </cfRule>
  </conditionalFormatting>
  <conditionalFormatting sqref="J1:L1">
    <cfRule type="containsBlanks" dxfId="326" priority="327">
      <formula>LEN(TRIM(J1))=0</formula>
    </cfRule>
  </conditionalFormatting>
  <conditionalFormatting sqref="A1:G1">
    <cfRule type="containsText" dxfId="327" priority="328" operator="containsText" text="Pass">
      <formula>NOT(ISERROR(SEARCH("Pass", A1)))</formula>
    </cfRule>
  </conditionalFormatting>
  <conditionalFormatting sqref="I8:I13">
    <cfRule type="containsText" dxfId="328" priority="329" operator="containsText" text="Pass">
      <formula>NOT(ISERROR(SEARCH("Pass", I8)))</formula>
    </cfRule>
  </conditionalFormatting>
  <conditionalFormatting sqref="J1:L1">
    <cfRule type="containsText" dxfId="329" priority="330" operator="containsText" text="Pass">
      <formula>NOT(ISERROR(SEARCH("Pass", J1)))</formula>
    </cfRule>
  </conditionalFormatting>
  <conditionalFormatting sqref="I1">
    <cfRule type="containsText" dxfId="330" priority="331" operator="containsText" text="Pass">
      <formula>NOT(ISERROR(SEARCH("Pass", I1)))</formula>
    </cfRule>
  </conditionalFormatting>
  <conditionalFormatting sqref="A1:G1">
    <cfRule type="containsText" dxfId="331" priority="332" operator="containsText" text="Fail">
      <formula>NOT(ISERROR(SEARCH("Fail", A1)))</formula>
    </cfRule>
  </conditionalFormatting>
  <conditionalFormatting sqref="I8:I13">
    <cfRule type="containsText" dxfId="332" priority="333" operator="containsText" text="Fail">
      <formula>NOT(ISERROR(SEARCH("Fail", I8)))</formula>
    </cfRule>
  </conditionalFormatting>
  <conditionalFormatting sqref="J1:L1">
    <cfRule type="containsText" dxfId="333" priority="334" operator="containsText" text="Fail">
      <formula>NOT(ISERROR(SEARCH("Fail", J1)))</formula>
    </cfRule>
  </conditionalFormatting>
  <conditionalFormatting sqref="I1">
    <cfRule type="containsText" dxfId="334" priority="335" operator="containsText" text="Fail">
      <formula>NOT(ISERROR(SEARCH("Fail", I1)))</formula>
    </cfRule>
  </conditionalFormatting>
  <conditionalFormatting sqref="A1:G1">
    <cfRule type="containsText" dxfId="335" priority="336" operator="containsText" text="Block">
      <formula>NOT(ISERROR(SEARCH("Block", A1)))</formula>
    </cfRule>
  </conditionalFormatting>
  <conditionalFormatting sqref="I8:I13">
    <cfRule type="containsText" dxfId="336" priority="337" operator="containsText" text="Block">
      <formula>NOT(ISERROR(SEARCH("Block", I8)))</formula>
    </cfRule>
  </conditionalFormatting>
  <conditionalFormatting sqref="J1:L1">
    <cfRule type="containsText" dxfId="337" priority="338" operator="containsText" text="Block">
      <formula>NOT(ISERROR(SEARCH("Block", J1)))</formula>
    </cfRule>
  </conditionalFormatting>
  <conditionalFormatting sqref="I1">
    <cfRule type="containsText" dxfId="338" priority="339" operator="containsText" text="Block">
      <formula>NOT(ISERROR(SEARCH("Block", I1)))</formula>
    </cfRule>
  </conditionalFormatting>
  <conditionalFormatting sqref="A1:G1">
    <cfRule type="containsText" dxfId="339" priority="340" operator="containsText" text="N/A">
      <formula>NOT(ISERROR(SEARCH("N/A", A1)))</formula>
    </cfRule>
  </conditionalFormatting>
  <conditionalFormatting sqref="I8:I13">
    <cfRule type="containsText" dxfId="340" priority="341" operator="containsText" text="N/A">
      <formula>NOT(ISERROR(SEARCH("N/A", I8)))</formula>
    </cfRule>
  </conditionalFormatting>
  <conditionalFormatting sqref="J1:L1">
    <cfRule type="containsText" dxfId="341" priority="342" operator="containsText" text="N/A">
      <formula>NOT(ISERROR(SEARCH("N/A", J1)))</formula>
    </cfRule>
  </conditionalFormatting>
  <conditionalFormatting sqref="I1">
    <cfRule type="containsText" dxfId="342" priority="343" operator="containsText" text="N/A">
      <formula>NOT(ISERROR(SEARCH("N/A", I1)))</formula>
    </cfRule>
  </conditionalFormatting>
  <conditionalFormatting sqref="A1:G1">
    <cfRule type="containsText" dxfId="343" priority="344" operator="containsText" text="N/T">
      <formula>NOT(ISERROR(SEARCH("N/T", A1)))</formula>
    </cfRule>
  </conditionalFormatting>
  <conditionalFormatting sqref="I1 I8:I13">
    <cfRule type="containsText" dxfId="344" priority="345" operator="containsText" text="N/T">
      <formula>NOT(ISERROR(SEARCH("N/T", I1)))</formula>
    </cfRule>
  </conditionalFormatting>
  <conditionalFormatting sqref="J1:L1">
    <cfRule type="containsText" dxfId="345" priority="346" operator="containsText" text="N/T">
      <formula>NOT(ISERROR(SEARCH("N/T", J1)))</formula>
    </cfRule>
  </conditionalFormatting>
  <printOptions>
    <extLst>
      <ext uri="smNativeData">
        <pm:pageFlags xmlns:pm="smNativeData" id="1761576673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 pageOrder="overThenDown"/>
  <headerFooter>
    <extLst>
      <ext uri="smNativeData">
        <pm:header xmlns:pm="smNativeData" id="1761576673" l="56" r="56" t="56" b="56" borderId="0" fillId="0" vertical="0"/>
        <pm:footer xmlns:pm="smNativeData" id="1761576673" l="56" r="56" t="56" b="56" borderId="0" fillId="0" vertical="2"/>
        <pm:paperBin xmlns:pm="smNativeData" id="1761576673" Id="0" type="0" value="0"/>
        <pm:paperBin xmlns:pm="smNativeData" id="1761576673" Id="1" type="0" value="0"/>
      </ext>
    </extLst>
  </headerFooter>
  <legacyDrawing r:id="rId2"/>
  <extLst>
    <ext uri="smNativeData">
      <pm:sheetPrefs xmlns:pm="smNativeData" day="176157667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outlinePr summaryRight="0" summaryBelow="0"/>
  </sheetPr>
  <dimension ref="A1:J7"/>
  <sheetViews>
    <sheetView view="normal" workbookViewId="0">
      <selection activeCell="D32" sqref="D32"/>
    </sheetView>
  </sheetViews>
  <sheetFormatPr baseColWidth="11" defaultColWidth="12.567568" defaultRowHeight="12.75" customHeight="1"/>
  <cols>
    <col min="1" max="1" width="23.567568" customWidth="1"/>
    <col min="2" max="2" width="6.423423" customWidth="1"/>
    <col min="3" max="3" width="15.711712" customWidth="1"/>
    <col min="4" max="9" width="8.711712" customWidth="1"/>
    <col min="10" max="10" width="9.711712" customWidth="1"/>
  </cols>
  <sheetData>
    <row r="1" spans="1:1" ht="12.75" customHeight="1">
      <c r="A1" s="9" t="s">
        <v>234</v>
      </c>
    </row>
    <row r="2" spans="1:10" ht="12.75" customHeight="1">
      <c r="A2" s="10" t="s">
        <v>235</v>
      </c>
      <c r="B2" s="10" t="s">
        <v>236</v>
      </c>
      <c r="C2" s="10" t="s">
        <v>237</v>
      </c>
      <c r="D2" s="10" t="s">
        <v>32</v>
      </c>
      <c r="E2" s="10" t="s">
        <v>151</v>
      </c>
      <c r="F2" s="10" t="s">
        <v>53</v>
      </c>
      <c r="G2" s="10" t="s">
        <v>153</v>
      </c>
      <c r="H2" s="10" t="s">
        <v>15</v>
      </c>
      <c r="I2" s="10" t="s">
        <v>238</v>
      </c>
      <c r="J2" s="10" t="s">
        <v>239</v>
      </c>
    </row>
    <row r="3" spans="1:10" ht="12.75" customHeight="1">
      <c r="A3" s="11" t="s">
        <v>12</v>
      </c>
      <c r="B3" s="12">
        <f>COUNTIF(TestCase!L:L,A3)</f>
        <v>6</v>
      </c>
      <c r="C3" s="13">
        <f>IFERROR(B3/$B$6,0)</f>
        <v>0.103448275862068995</v>
      </c>
      <c r="D3" s="12">
        <f>_xlfn.COUNTIFS(TestCase!$I:$I,"*"&amp;D$2&amp;"*",TestCase!$L:$L,$A3)</f>
        <v>0</v>
      </c>
      <c r="E3" s="12">
        <f>_xlfn.COUNTIFS(TestCase!$I:$I,"*"&amp;E$2&amp;"*",TestCase!$L:$L,$A3)</f>
        <v>0</v>
      </c>
      <c r="F3" s="12">
        <f>_xlfn.COUNTIFS(TestCase!$I:$I,"*"&amp;F$2&amp;"*",TestCase!$L:$L,$A3)</f>
        <v>0</v>
      </c>
      <c r="G3" s="12">
        <f>_xlfn.COUNTIFS(TestCase!$I:$I,"*"&amp;G$2&amp;"*",TestCase!$L:$L,$A3)</f>
        <v>0</v>
      </c>
      <c r="H3" s="12">
        <f>_xlfn.COUNTIFS(TestCase!$I:$I,"*"&amp;H$2&amp;"*",TestCase!$L:$L,$A3)</f>
        <v>6</v>
      </c>
      <c r="I3" s="12">
        <f>_xlfn.COUNTIFS(TestCase!$I:$I,"*"&amp;I$2&amp;"*",TestCase!$L:$L,$A3)</f>
        <v>0</v>
      </c>
      <c r="J3" s="15">
        <f>I3/B3</f>
        <v>0</v>
      </c>
    </row>
    <row r="4" spans="1:10" ht="12.75" customHeight="1">
      <c r="A4" s="11" t="s">
        <v>26</v>
      </c>
      <c r="B4" s="12">
        <f>COUNTIF(TestCase!L:L,A4)</f>
        <v>18</v>
      </c>
      <c r="C4" s="13">
        <f>IFERROR(B4/$B$6,0)</f>
        <v>0.310344827586207028</v>
      </c>
      <c r="D4" s="12">
        <f>_xlfn.COUNTIFS(TestCase!$I:$I,"*"&amp;D$2&amp;"*",TestCase!$L:$L,$A4)</f>
        <v>17</v>
      </c>
      <c r="E4" s="12">
        <f>_xlfn.COUNTIFS(TestCase!$I:$I,"*"&amp;E$2&amp;"*",TestCase!$L:$L,$A4)</f>
        <v>0</v>
      </c>
      <c r="F4" s="12">
        <f>_xlfn.COUNTIFS(TestCase!$I:$I,"*"&amp;F$2&amp;"*",TestCase!$L:$L,$A4)</f>
        <v>1</v>
      </c>
      <c r="G4" s="12">
        <f>_xlfn.COUNTIFS(TestCase!$I:$I,"*"&amp;G$2&amp;"*",TestCase!$L:$L,$A4)</f>
        <v>0</v>
      </c>
      <c r="H4" s="12">
        <f>_xlfn.COUNTIFS(TestCase!$I:$I,"*"&amp;H$2&amp;"*",TestCase!$L:$L,$A4)</f>
        <v>0</v>
      </c>
      <c r="I4" s="14">
        <f>SUM(D4:H4)</f>
        <v>18</v>
      </c>
      <c r="J4" s="15">
        <f>I4/B4</f>
        <v>1</v>
      </c>
    </row>
    <row r="5" spans="1:10" ht="12.75" customHeight="1">
      <c r="A5" s="11" t="s">
        <v>95</v>
      </c>
      <c r="B5" s="12">
        <f>COUNTIF(TestCase!L:L,A5)</f>
        <v>34</v>
      </c>
      <c r="C5" s="13">
        <f>IFERROR(B5/$B$6,0)</f>
        <v>0.586206896551724022</v>
      </c>
      <c r="D5" s="12">
        <f>_xlfn.COUNTIFS(TestCase!$I:$I,"*"&amp;D$2&amp;"*",TestCase!$L:$L,$A5)</f>
        <v>32</v>
      </c>
      <c r="E5" s="12">
        <f>_xlfn.COUNTIFS(TestCase!$I:$I,"*"&amp;E$2&amp;"*",TestCase!$L:$L,$A5)</f>
        <v>2</v>
      </c>
      <c r="F5" s="12">
        <f>_xlfn.COUNTIFS(TestCase!$I:$I,"*"&amp;F$2&amp;"*",TestCase!$L:$L,$A5)</f>
        <v>0</v>
      </c>
      <c r="G5" s="12">
        <f>_xlfn.COUNTIFS(TestCase!$I:$I,"*"&amp;G$2&amp;"*",TestCase!$L:$L,$A5)</f>
        <v>0</v>
      </c>
      <c r="H5" s="12">
        <f>_xlfn.COUNTIFS(TestCase!$I:$I,"*"&amp;H$2&amp;"*",TestCase!$L:$L,$A5)</f>
        <v>0</v>
      </c>
      <c r="I5" s="14">
        <f>SUM(D5:H5)</f>
        <v>34</v>
      </c>
      <c r="J5" s="15">
        <f>I5/B5</f>
        <v>1</v>
      </c>
    </row>
    <row r="6" spans="1:10" ht="12.75" customHeight="1">
      <c r="A6" s="16" t="s">
        <v>238</v>
      </c>
      <c r="B6" s="16">
        <f>SUM(B3:B5)</f>
        <v>58</v>
      </c>
      <c r="C6" s="17">
        <f>SUM(C3:C5)</f>
        <v>1</v>
      </c>
      <c r="D6" s="14">
        <f>SUM(D3:D5)</f>
        <v>49</v>
      </c>
      <c r="E6" s="14">
        <f>SUM(E3:E5)</f>
        <v>2</v>
      </c>
      <c r="F6" s="14">
        <f>SUM(F3:F5)</f>
        <v>1</v>
      </c>
      <c r="G6" s="14">
        <f>SUM(G3:G5)</f>
        <v>0</v>
      </c>
      <c r="H6" s="14">
        <f>SUM(H3:H5)</f>
        <v>6</v>
      </c>
      <c r="I6" s="14">
        <f>SUM(I3:I5)</f>
        <v>52</v>
      </c>
      <c r="J6" s="14"/>
    </row>
    <row r="7" spans="1:10" ht="12.75" customHeight="1">
      <c r="A7" s="16" t="s">
        <v>239</v>
      </c>
      <c r="B7" s="16"/>
      <c r="C7" s="16"/>
      <c r="D7" s="15">
        <f>D6/$B6</f>
        <v>0.844827586206896974</v>
      </c>
      <c r="E7" s="15">
        <f>E6/$B6</f>
        <v>0.0344827586206899994</v>
      </c>
      <c r="F7" s="15">
        <f>F6/$B6</f>
        <v>0.0172413793103449997</v>
      </c>
      <c r="G7" s="15">
        <f>G6/$B6</f>
        <v>0</v>
      </c>
      <c r="H7" s="15">
        <f>H6/$B6</f>
        <v>0.103448275862068995</v>
      </c>
      <c r="I7" s="15">
        <f>I6/$B6</f>
        <v>0.896551724137930961</v>
      </c>
      <c r="J7" s="14"/>
    </row>
  </sheetData>
  <printOptions>
    <extLst>
      <ext uri="smNativeData">
        <pm:pageFlags xmlns:pm="smNativeData" id="1761576673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 pageOrder="overThenDown"/>
  <headerFooter>
    <extLst>
      <ext uri="smNativeData">
        <pm:header xmlns:pm="smNativeData" id="1761576673" l="56" r="56" t="56" b="56" borderId="0" fillId="0" vertical="0"/>
        <pm:footer xmlns:pm="smNativeData" id="1761576673" l="56" r="56" t="56" b="56" borderId="0" fillId="0" vertical="2"/>
        <pm:paperBin xmlns:pm="smNativeData" id="1761576673" Id="0" type="0" value="0"/>
        <pm:paperBin xmlns:pm="smNativeData" id="1761576673" Id="1" type="0" value="0"/>
      </ext>
    </extLst>
  </headerFooter>
  <extLst>
    <ext uri="smNativeData">
      <pm:sheetPrefs xmlns:pm="smNativeData" day="176157667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허준</dc:creator>
  <cp:keywords/>
  <dc:description/>
  <cp:lastModifiedBy>autoa</cp:lastModifiedBy>
  <cp:revision>0</cp:revision>
  <dcterms:created xsi:type="dcterms:W3CDTF">2025-09-15T15:28:01Z</dcterms:created>
  <dcterms:modified xsi:type="dcterms:W3CDTF">2025-10-27T14:51:13Z</dcterms:modified>
</cp:coreProperties>
</file>